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5040" yWindow="-228" windowWidth="23088" windowHeight="9300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AM21" i="1"/>
  <c r="AM11"/>
  <c r="Y10"/>
  <c r="AM20"/>
  <c r="AM10"/>
  <c r="Y20"/>
  <c r="AM19"/>
  <c r="Y19"/>
  <c r="Z18"/>
  <c r="AA18"/>
  <c r="AB18"/>
  <c r="AC18"/>
  <c r="AD18"/>
  <c r="AE18"/>
  <c r="AF18"/>
  <c r="AG18"/>
  <c r="AH18"/>
  <c r="AI18"/>
  <c r="AJ18"/>
  <c r="AK18"/>
  <c r="AL18"/>
  <c r="AM18"/>
  <c r="Y18"/>
  <c r="AM17"/>
  <c r="Y17"/>
  <c r="AM7"/>
  <c r="Y7"/>
  <c r="AM9"/>
  <c r="AH8"/>
  <c r="AI8"/>
  <c r="AJ8"/>
  <c r="AK8"/>
  <c r="AL8"/>
  <c r="AM8"/>
  <c r="AG8"/>
  <c r="Y8"/>
  <c r="Y9"/>
  <c r="U58"/>
  <c r="P58"/>
  <c r="Q58"/>
  <c r="R58"/>
  <c r="S58"/>
  <c r="T58"/>
  <c r="O58"/>
  <c r="I53"/>
  <c r="H53"/>
  <c r="U72"/>
  <c r="U62"/>
  <c r="I8" l="1"/>
  <c r="H50" s="1"/>
  <c r="I9"/>
  <c r="H51" s="1"/>
  <c r="I10"/>
  <c r="H52" s="1"/>
  <c r="J8"/>
  <c r="J9"/>
  <c r="J10"/>
  <c r="K8"/>
  <c r="K9"/>
  <c r="L8"/>
  <c r="L9"/>
  <c r="M8"/>
  <c r="L50" s="1"/>
  <c r="M9"/>
  <c r="M10"/>
  <c r="M13"/>
  <c r="L55" s="1"/>
  <c r="AD8" s="1"/>
  <c r="N8"/>
  <c r="M50" s="1"/>
  <c r="N9"/>
  <c r="N10"/>
  <c r="N11"/>
  <c r="N12"/>
  <c r="N13"/>
  <c r="M55" s="1"/>
  <c r="N14"/>
  <c r="M56" s="1"/>
  <c r="AE8" s="1"/>
  <c r="O8"/>
  <c r="O9"/>
  <c r="O10"/>
  <c r="O11"/>
  <c r="O12"/>
  <c r="O13"/>
  <c r="O14"/>
  <c r="N56" s="1"/>
  <c r="O15"/>
  <c r="N57" s="1"/>
  <c r="AF8" s="1"/>
  <c r="P8"/>
  <c r="P9"/>
  <c r="P10"/>
  <c r="P11"/>
  <c r="P12"/>
  <c r="P13"/>
  <c r="P14"/>
  <c r="P15"/>
  <c r="O57" s="1"/>
  <c r="Q8"/>
  <c r="P50" s="1"/>
  <c r="Q9"/>
  <c r="P51" s="1"/>
  <c r="Q10"/>
  <c r="P52" s="1"/>
  <c r="Q11"/>
  <c r="P53" s="1"/>
  <c r="Q12"/>
  <c r="P54" s="1"/>
  <c r="Q13"/>
  <c r="P55" s="1"/>
  <c r="Q14"/>
  <c r="P56" s="1"/>
  <c r="Q15"/>
  <c r="P57" s="1"/>
  <c r="R8"/>
  <c r="Q50" s="1"/>
  <c r="R9"/>
  <c r="Q51" s="1"/>
  <c r="R10"/>
  <c r="R11"/>
  <c r="Q53" s="1"/>
  <c r="R12"/>
  <c r="Q54" s="1"/>
  <c r="R13"/>
  <c r="Q55" s="1"/>
  <c r="R14"/>
  <c r="Q56" s="1"/>
  <c r="R15"/>
  <c r="Q57" s="1"/>
  <c r="S8"/>
  <c r="S9"/>
  <c r="S10"/>
  <c r="S11"/>
  <c r="S12"/>
  <c r="S13"/>
  <c r="S14"/>
  <c r="S15"/>
  <c r="T8"/>
  <c r="T9"/>
  <c r="T10"/>
  <c r="T11"/>
  <c r="T12"/>
  <c r="T13"/>
  <c r="T14"/>
  <c r="T15"/>
  <c r="I7"/>
  <c r="H49" s="1"/>
  <c r="J7"/>
  <c r="K7"/>
  <c r="L7"/>
  <c r="K49" s="1"/>
  <c r="M7"/>
  <c r="N7"/>
  <c r="O7"/>
  <c r="P7"/>
  <c r="Q7"/>
  <c r="R7"/>
  <c r="Q49" s="1"/>
  <c r="S7"/>
  <c r="T7"/>
  <c r="H9"/>
  <c r="G51" s="1"/>
  <c r="H10"/>
  <c r="G52" s="1"/>
  <c r="H8"/>
  <c r="G50" s="1"/>
  <c r="H7"/>
  <c r="G49" s="1"/>
  <c r="B11"/>
  <c r="B13" s="1"/>
  <c r="G11"/>
  <c r="M49" l="1"/>
  <c r="O49"/>
  <c r="M51"/>
  <c r="L51"/>
  <c r="Q52"/>
  <c r="J49"/>
  <c r="J50"/>
  <c r="J51"/>
  <c r="L49"/>
  <c r="N49"/>
  <c r="P49"/>
  <c r="O56"/>
  <c r="O54"/>
  <c r="O52"/>
  <c r="O50"/>
  <c r="N52"/>
  <c r="N50"/>
  <c r="K51"/>
  <c r="O55"/>
  <c r="O53"/>
  <c r="O51"/>
  <c r="N55"/>
  <c r="N51"/>
  <c r="K50"/>
  <c r="U49"/>
  <c r="U63" s="1"/>
  <c r="S49"/>
  <c r="U57"/>
  <c r="U71" s="1"/>
  <c r="S57"/>
  <c r="S55"/>
  <c r="U55"/>
  <c r="U69" s="1"/>
  <c r="U53"/>
  <c r="U67" s="1"/>
  <c r="S53"/>
  <c r="S51"/>
  <c r="U51"/>
  <c r="U65" s="1"/>
  <c r="R57"/>
  <c r="T57"/>
  <c r="R55"/>
  <c r="T55"/>
  <c r="R53"/>
  <c r="T53"/>
  <c r="R51"/>
  <c r="T51"/>
  <c r="I49"/>
  <c r="I51"/>
  <c r="R49"/>
  <c r="T49"/>
  <c r="U56"/>
  <c r="U70" s="1"/>
  <c r="S56"/>
  <c r="U54"/>
  <c r="S54"/>
  <c r="U52"/>
  <c r="U66" s="1"/>
  <c r="S52"/>
  <c r="U50"/>
  <c r="U64" s="1"/>
  <c r="S50"/>
  <c r="R56"/>
  <c r="T56"/>
  <c r="R54"/>
  <c r="T54"/>
  <c r="R52"/>
  <c r="T52"/>
  <c r="R50"/>
  <c r="T50"/>
  <c r="I52"/>
  <c r="I50"/>
  <c r="G10"/>
  <c r="G9" s="1"/>
  <c r="G8" s="1"/>
  <c r="G7" s="1"/>
  <c r="G6" s="1"/>
  <c r="H6" s="1"/>
  <c r="G53"/>
  <c r="G67" s="1"/>
  <c r="T44"/>
  <c r="AL7" s="1"/>
  <c r="S44"/>
  <c r="AK7" s="1"/>
  <c r="R44"/>
  <c r="AJ7" s="1"/>
  <c r="Q44"/>
  <c r="AI7" s="1"/>
  <c r="P44"/>
  <c r="AH7" s="1"/>
  <c r="O44"/>
  <c r="AG7" s="1"/>
  <c r="N43"/>
  <c r="J38"/>
  <c r="I39"/>
  <c r="H39"/>
  <c r="G66"/>
  <c r="H38"/>
  <c r="H66" s="1"/>
  <c r="G65"/>
  <c r="T43"/>
  <c r="S43"/>
  <c r="R43"/>
  <c r="Q43"/>
  <c r="Q71" s="1"/>
  <c r="P43"/>
  <c r="P71" s="1"/>
  <c r="O43"/>
  <c r="O71" s="1"/>
  <c r="N42"/>
  <c r="M42"/>
  <c r="J39"/>
  <c r="AB7" s="1"/>
  <c r="I38"/>
  <c r="I66" s="1"/>
  <c r="G63"/>
  <c r="G64"/>
  <c r="H36"/>
  <c r="H64" s="1"/>
  <c r="H34"/>
  <c r="Z17" s="1"/>
  <c r="T36"/>
  <c r="P36"/>
  <c r="P64" s="1"/>
  <c r="L36"/>
  <c r="L64" s="1"/>
  <c r="N37"/>
  <c r="N65" s="1"/>
  <c r="M37"/>
  <c r="I37"/>
  <c r="T42"/>
  <c r="T40"/>
  <c r="T38"/>
  <c r="S42"/>
  <c r="S40"/>
  <c r="S68" s="1"/>
  <c r="S38"/>
  <c r="R42"/>
  <c r="R40"/>
  <c r="R68" s="1"/>
  <c r="R38"/>
  <c r="Q42"/>
  <c r="Q70" s="1"/>
  <c r="Q40"/>
  <c r="Q68" s="1"/>
  <c r="Q38"/>
  <c r="Q66" s="1"/>
  <c r="P42"/>
  <c r="P40"/>
  <c r="P68" s="1"/>
  <c r="P38"/>
  <c r="P66" s="1"/>
  <c r="O42"/>
  <c r="O40"/>
  <c r="O38"/>
  <c r="N41"/>
  <c r="N69" s="1"/>
  <c r="N39"/>
  <c r="R36"/>
  <c r="N36"/>
  <c r="N64" s="1"/>
  <c r="J36"/>
  <c r="H37"/>
  <c r="H65" s="1"/>
  <c r="H35"/>
  <c r="H63" s="1"/>
  <c r="S36"/>
  <c r="Q36"/>
  <c r="Q64" s="1"/>
  <c r="O36"/>
  <c r="O64" s="1"/>
  <c r="M36"/>
  <c r="M64" s="1"/>
  <c r="K36"/>
  <c r="I36"/>
  <c r="I64" s="1"/>
  <c r="T37"/>
  <c r="S37"/>
  <c r="R37"/>
  <c r="R65" s="1"/>
  <c r="Q37"/>
  <c r="Q65" s="1"/>
  <c r="P37"/>
  <c r="P65" s="1"/>
  <c r="O37"/>
  <c r="J37"/>
  <c r="T41"/>
  <c r="T39"/>
  <c r="S41"/>
  <c r="S39"/>
  <c r="R41"/>
  <c r="R39"/>
  <c r="R67" s="1"/>
  <c r="Q41"/>
  <c r="Q69" s="1"/>
  <c r="Q39"/>
  <c r="Q67" s="1"/>
  <c r="P41"/>
  <c r="P69" s="1"/>
  <c r="P39"/>
  <c r="P67" s="1"/>
  <c r="O41"/>
  <c r="O39"/>
  <c r="N40"/>
  <c r="N38"/>
  <c r="U15"/>
  <c r="M12"/>
  <c r="L54" s="1"/>
  <c r="L12"/>
  <c r="M54" s="1"/>
  <c r="L10"/>
  <c r="K52" s="1"/>
  <c r="L11"/>
  <c r="K53" s="1"/>
  <c r="M11"/>
  <c r="K11"/>
  <c r="J53" s="1"/>
  <c r="K10"/>
  <c r="J52" s="1"/>
  <c r="M65" l="1"/>
  <c r="H67"/>
  <c r="Z7"/>
  <c r="M70"/>
  <c r="AE9" s="1"/>
  <c r="AE10" s="1"/>
  <c r="AE11" s="1"/>
  <c r="AE7"/>
  <c r="I67"/>
  <c r="AA7"/>
  <c r="N71"/>
  <c r="AF9" s="1"/>
  <c r="AF10" s="1"/>
  <c r="AF11" s="1"/>
  <c r="AF7"/>
  <c r="J64"/>
  <c r="J65"/>
  <c r="N66"/>
  <c r="O66"/>
  <c r="O70"/>
  <c r="O69"/>
  <c r="R69"/>
  <c r="S69"/>
  <c r="O65"/>
  <c r="S65"/>
  <c r="R64"/>
  <c r="O68"/>
  <c r="R66"/>
  <c r="R70"/>
  <c r="R71"/>
  <c r="L53"/>
  <c r="O67"/>
  <c r="S67"/>
  <c r="K64"/>
  <c r="S64"/>
  <c r="S66"/>
  <c r="S70"/>
  <c r="I65"/>
  <c r="P72"/>
  <c r="AH9" s="1"/>
  <c r="AH10" s="1"/>
  <c r="AH11" s="1"/>
  <c r="R72"/>
  <c r="AJ9" s="1"/>
  <c r="AJ10" s="1"/>
  <c r="AJ11" s="1"/>
  <c r="T72"/>
  <c r="AL9" s="1"/>
  <c r="AL10" s="1"/>
  <c r="AL11" s="1"/>
  <c r="U68"/>
  <c r="N54"/>
  <c r="N68" s="1"/>
  <c r="L52"/>
  <c r="L41"/>
  <c r="K54"/>
  <c r="AC8" s="1"/>
  <c r="O72"/>
  <c r="AG9" s="1"/>
  <c r="AG10" s="1"/>
  <c r="AG11" s="1"/>
  <c r="Q72"/>
  <c r="AI9" s="1"/>
  <c r="AI10" s="1"/>
  <c r="AI11" s="1"/>
  <c r="S72"/>
  <c r="AK9" s="1"/>
  <c r="AK10" s="1"/>
  <c r="AK11" s="1"/>
  <c r="J67"/>
  <c r="M53"/>
  <c r="M52"/>
  <c r="N53"/>
  <c r="I6"/>
  <c r="G48"/>
  <c r="G62" s="1"/>
  <c r="P70"/>
  <c r="U14"/>
  <c r="K37"/>
  <c r="K65" s="1"/>
  <c r="J66"/>
  <c r="M40"/>
  <c r="M68" s="1"/>
  <c r="M41"/>
  <c r="M69" s="1"/>
  <c r="N70"/>
  <c r="T71"/>
  <c r="S71"/>
  <c r="L37"/>
  <c r="L65" s="1"/>
  <c r="L39"/>
  <c r="K38"/>
  <c r="K66" s="1"/>
  <c r="K40"/>
  <c r="AC7" s="1"/>
  <c r="L38"/>
  <c r="L40"/>
  <c r="L68" s="1"/>
  <c r="K39"/>
  <c r="K67" s="1"/>
  <c r="M38"/>
  <c r="M39"/>
  <c r="AB8" l="1"/>
  <c r="AB9"/>
  <c r="AB10" s="1"/>
  <c r="AB11" s="1"/>
  <c r="AA9"/>
  <c r="AA10" s="1"/>
  <c r="AA11" s="1"/>
  <c r="AA8"/>
  <c r="Z8"/>
  <c r="Z9"/>
  <c r="Z10" s="1"/>
  <c r="Z11" s="1"/>
  <c r="L69"/>
  <c r="AD9" s="1"/>
  <c r="AD10" s="1"/>
  <c r="AD11" s="1"/>
  <c r="AD7"/>
  <c r="L67"/>
  <c r="K68"/>
  <c r="AC9" s="1"/>
  <c r="AC10" s="1"/>
  <c r="AC11" s="1"/>
  <c r="M67"/>
  <c r="N67"/>
  <c r="J6"/>
  <c r="H48"/>
  <c r="H62" s="1"/>
  <c r="Z19" s="1"/>
  <c r="Z20" s="1"/>
  <c r="Z21" s="1"/>
  <c r="I35"/>
  <c r="I63" s="1"/>
  <c r="I34"/>
  <c r="AA17" s="1"/>
  <c r="L66"/>
  <c r="U13"/>
  <c r="T70"/>
  <c r="M66"/>
  <c r="U12" l="1"/>
  <c r="T69"/>
  <c r="K6"/>
  <c r="I48"/>
  <c r="I62" s="1"/>
  <c r="AA19" s="1"/>
  <c r="AA20" s="1"/>
  <c r="AA21" s="1"/>
  <c r="J34"/>
  <c r="AB17" s="1"/>
  <c r="J35"/>
  <c r="J63" s="1"/>
  <c r="L6" l="1"/>
  <c r="J48"/>
  <c r="K35"/>
  <c r="K63" s="1"/>
  <c r="K34"/>
  <c r="AC17" s="1"/>
  <c r="U11"/>
  <c r="T68"/>
  <c r="J62"/>
  <c r="AB19" s="1"/>
  <c r="AB20" s="1"/>
  <c r="AB21" s="1"/>
  <c r="U10" l="1"/>
  <c r="T67"/>
  <c r="M6"/>
  <c r="K48"/>
  <c r="K62" s="1"/>
  <c r="AC19" s="1"/>
  <c r="AC20" s="1"/>
  <c r="AC21" s="1"/>
  <c r="L34"/>
  <c r="AD17" s="1"/>
  <c r="L35"/>
  <c r="L63" s="1"/>
  <c r="N6" l="1"/>
  <c r="L48"/>
  <c r="M35"/>
  <c r="M63" s="1"/>
  <c r="M34"/>
  <c r="AE17" s="1"/>
  <c r="U9"/>
  <c r="T66"/>
  <c r="L62"/>
  <c r="AD19" s="1"/>
  <c r="AD20" s="1"/>
  <c r="AD21" s="1"/>
  <c r="U8" l="1"/>
  <c r="T65"/>
  <c r="O6"/>
  <c r="M48"/>
  <c r="M62" s="1"/>
  <c r="AE19" s="1"/>
  <c r="AE20" s="1"/>
  <c r="AE21" s="1"/>
  <c r="N35"/>
  <c r="N63" s="1"/>
  <c r="N34"/>
  <c r="AF17" s="1"/>
  <c r="P6" l="1"/>
  <c r="N48"/>
  <c r="O34"/>
  <c r="AG17" s="1"/>
  <c r="O35"/>
  <c r="O63" s="1"/>
  <c r="U7"/>
  <c r="T64"/>
  <c r="N62"/>
  <c r="AF19" s="1"/>
  <c r="AF20" s="1"/>
  <c r="AF21" s="1"/>
  <c r="U6" l="1"/>
  <c r="Q6"/>
  <c r="O48"/>
  <c r="P35"/>
  <c r="P63" s="1"/>
  <c r="P34"/>
  <c r="AH17" s="1"/>
  <c r="O62"/>
  <c r="AG19" s="1"/>
  <c r="AG20" s="1"/>
  <c r="AG21" s="1"/>
  <c r="R6" l="1"/>
  <c r="P48"/>
  <c r="Q34"/>
  <c r="AI17" s="1"/>
  <c r="Q35"/>
  <c r="Q63" s="1"/>
  <c r="P62"/>
  <c r="AH19" s="1"/>
  <c r="AH20" s="1"/>
  <c r="AH21" s="1"/>
  <c r="S6" l="1"/>
  <c r="Q48"/>
  <c r="R35"/>
  <c r="R63" s="1"/>
  <c r="R34"/>
  <c r="AJ17" s="1"/>
  <c r="Q62"/>
  <c r="AI19" s="1"/>
  <c r="AI20" s="1"/>
  <c r="AI21" s="1"/>
  <c r="T6" l="1"/>
  <c r="R48"/>
  <c r="S34"/>
  <c r="AK17" s="1"/>
  <c r="S35"/>
  <c r="S63" s="1"/>
  <c r="R62"/>
  <c r="AJ19" s="1"/>
  <c r="AJ20" s="1"/>
  <c r="AJ21" s="1"/>
  <c r="S48" l="1"/>
  <c r="T35"/>
  <c r="T63" s="1"/>
  <c r="T34"/>
  <c r="AL17" s="1"/>
  <c r="T48"/>
  <c r="S62"/>
  <c r="AK19" s="1"/>
  <c r="AK20" s="1"/>
  <c r="AK21" s="1"/>
  <c r="T62" l="1"/>
  <c r="AL19" s="1"/>
  <c r="AL20" s="1"/>
  <c r="AL21" s="1"/>
</calcChain>
</file>

<file path=xl/sharedStrings.xml><?xml version="1.0" encoding="utf-8"?>
<sst xmlns="http://schemas.openxmlformats.org/spreadsheetml/2006/main" count="39" uniqueCount="26">
  <si>
    <t>n_iter</t>
  </si>
  <si>
    <t>dвх,м</t>
  </si>
  <si>
    <t>dвых,м</t>
  </si>
  <si>
    <t>Pвх, Па</t>
  </si>
  <si>
    <t>dx=dy, м</t>
  </si>
  <si>
    <t>G, м^3/c</t>
  </si>
  <si>
    <t>Геометрические параметры</t>
  </si>
  <si>
    <t>Расход</t>
  </si>
  <si>
    <t>Входные параметры</t>
  </si>
  <si>
    <t>Выходные параметры</t>
  </si>
  <si>
    <t>ψ</t>
  </si>
  <si>
    <t>Vx</t>
  </si>
  <si>
    <t>Vxвх, м/c</t>
  </si>
  <si>
    <t>Vxвых</t>
  </si>
  <si>
    <t>Vy</t>
  </si>
  <si>
    <t>V</t>
  </si>
  <si>
    <t>Потенциальное течение</t>
  </si>
  <si>
    <t>N</t>
  </si>
  <si>
    <t>x</t>
  </si>
  <si>
    <t>y</t>
  </si>
  <si>
    <t>p</t>
  </si>
  <si>
    <t>ρ</t>
  </si>
  <si>
    <t>Нижняя граница</t>
  </si>
  <si>
    <t>Вверхняя граница</t>
  </si>
  <si>
    <t>Cp</t>
  </si>
  <si>
    <t>pвх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</si>
</sst>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0"/>
      <name val="Times New Roman"/>
      <family val="1"/>
      <charset val="204"/>
    </font>
    <font>
      <sz val="20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2" borderId="1" xfId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Контрольная ячейка" xfId="1" builtinId="23"/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9.315106155765536E-2"/>
          <c:y val="1.3911626731261246E-2"/>
          <c:w val="0.80338164632208753"/>
          <c:h val="0.95650723504220969"/>
        </c:manualLayout>
      </c:layout>
      <c:scatterChart>
        <c:scatterStyle val="smoothMarker"/>
        <c:ser>
          <c:idx val="0"/>
          <c:order val="0"/>
          <c:tx>
            <c:v>Верхняя граница</c:v>
          </c:tx>
          <c:xVal>
            <c:numRef>
              <c:f>Лист1!$Y$15:$AM$15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Лист1!$Y$21:$AM$21</c:f>
              <c:numCache>
                <c:formatCode>General</c:formatCode>
                <c:ptCount val="15"/>
                <c:pt idx="0">
                  <c:v>0</c:v>
                </c:pt>
                <c:pt idx="1">
                  <c:v>4.8001651763117409E-2</c:v>
                </c:pt>
                <c:pt idx="2">
                  <c:v>0.10566330529916566</c:v>
                </c:pt>
                <c:pt idx="3">
                  <c:v>0.18038630220545632</c:v>
                </c:pt>
                <c:pt idx="4">
                  <c:v>0.2712306224153383</c:v>
                </c:pt>
                <c:pt idx="5">
                  <c:v>0.36512526349565944</c:v>
                </c:pt>
                <c:pt idx="6">
                  <c:v>0.45076147131815669</c:v>
                </c:pt>
                <c:pt idx="7">
                  <c:v>0.52295292048641484</c:v>
                </c:pt>
                <c:pt idx="8">
                  <c:v>0.58109559983771997</c:v>
                </c:pt>
                <c:pt idx="9">
                  <c:v>0.62684265793234173</c:v>
                </c:pt>
                <c:pt idx="10">
                  <c:v>0.6625934735279484</c:v>
                </c:pt>
                <c:pt idx="11">
                  <c:v>0.69076604675981912</c:v>
                </c:pt>
                <c:pt idx="12">
                  <c:v>0.71352718016644767</c:v>
                </c:pt>
                <c:pt idx="13">
                  <c:v>0.73274048100792333</c:v>
                </c:pt>
                <c:pt idx="14">
                  <c:v>0.75</c:v>
                </c:pt>
              </c:numCache>
            </c:numRef>
          </c:yVal>
          <c:smooth val="1"/>
        </c:ser>
        <c:ser>
          <c:idx val="1"/>
          <c:order val="1"/>
          <c:tx>
            <c:v>Нижняя граница</c:v>
          </c:tx>
          <c:xVal>
            <c:numRef>
              <c:f>Лист1!$Y$15:$AM$15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Лист1!$Y$11:$AM$11</c:f>
              <c:numCache>
                <c:formatCode>General</c:formatCode>
                <c:ptCount val="15"/>
                <c:pt idx="0">
                  <c:v>0</c:v>
                </c:pt>
                <c:pt idx="1">
                  <c:v>-7.1649219481103935E-2</c:v>
                </c:pt>
                <c:pt idx="2">
                  <c:v>-0.19215613117158761</c:v>
                </c:pt>
                <c:pt idx="3">
                  <c:v>-0.9133161161334431</c:v>
                </c:pt>
                <c:pt idx="4">
                  <c:v>0.31258651544156835</c:v>
                </c:pt>
                <c:pt idx="5">
                  <c:v>0.5933552750247123</c:v>
                </c:pt>
                <c:pt idx="6">
                  <c:v>0.74542423604031616</c:v>
                </c:pt>
                <c:pt idx="7">
                  <c:v>0.85652843806488965</c:v>
                </c:pt>
                <c:pt idx="8">
                  <c:v>0.95349665284011342</c:v>
                </c:pt>
                <c:pt idx="9">
                  <c:v>0.895550394422434</c:v>
                </c:pt>
                <c:pt idx="10">
                  <c:v>0.85110032292539606</c:v>
                </c:pt>
                <c:pt idx="11">
                  <c:v>0.8177998900636908</c:v>
                </c:pt>
                <c:pt idx="12">
                  <c:v>0.79182286709910488</c:v>
                </c:pt>
                <c:pt idx="13">
                  <c:v>0.77008151827610327</c:v>
                </c:pt>
                <c:pt idx="14">
                  <c:v>0.75</c:v>
                </c:pt>
              </c:numCache>
            </c:numRef>
          </c:yVal>
          <c:smooth val="1"/>
        </c:ser>
        <c:axId val="82071936"/>
        <c:axId val="82070144"/>
      </c:scatterChart>
      <c:valAx>
        <c:axId val="82071936"/>
        <c:scaling>
          <c:orientation val="minMax"/>
          <c:max val="15"/>
          <c:min val="0"/>
        </c:scaling>
        <c:axPos val="b"/>
        <c:numFmt formatCode="General" sourceLinked="1"/>
        <c:tickLblPos val="nextTo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  <c:crossAx val="82070144"/>
        <c:crosses val="autoZero"/>
        <c:crossBetween val="midCat"/>
        <c:majorUnit val="1"/>
        <c:minorUnit val="0.5"/>
      </c:valAx>
      <c:valAx>
        <c:axId val="82070144"/>
        <c:scaling>
          <c:orientation val="minMax"/>
          <c:max val="1"/>
          <c:min val="-1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  <c:crossAx val="82071936"/>
        <c:crosses val="autoZero"/>
        <c:crossBetween val="midCat"/>
        <c:minorUnit val="2.5000000000000005E-2"/>
      </c:valAx>
    </c:plotArea>
    <c:legend>
      <c:legendPos val="r"/>
      <c:layout>
        <c:manualLayout>
          <c:xMode val="edge"/>
          <c:yMode val="edge"/>
          <c:x val="0.49554431462356396"/>
          <c:y val="0.59702043754680889"/>
          <c:w val="0.16169980610898058"/>
          <c:h val="7.875557912772671E-2"/>
        </c:manualLayout>
      </c:layout>
      <c:txPr>
        <a:bodyPr/>
        <a:lstStyle/>
        <a:p>
          <a:pPr>
            <a:defRPr sz="1400">
              <a:latin typeface="Times New Roman" pitchFamily="18" charset="0"/>
              <a:cs typeface="Times New Roman" pitchFamily="18" charset="0"/>
            </a:defRPr>
          </a:pPr>
          <a:endParaRPr lang="ru-RU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484909</xdr:colOff>
      <xdr:row>22</xdr:row>
      <xdr:rowOff>96982</xdr:rowOff>
    </xdr:from>
    <xdr:to>
      <xdr:col>39</xdr:col>
      <xdr:colOff>415636</xdr:colOff>
      <xdr:row>50</xdr:row>
      <xdr:rowOff>138545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0.01211</cdr:x>
      <cdr:y>0.03421</cdr:y>
    </cdr:from>
    <cdr:to>
      <cdr:x>0.05653</cdr:x>
      <cdr:y>0.09859</cdr:y>
    </cdr:to>
    <cdr:sp macro="" textlink="">
      <cdr:nvSpPr>
        <cdr:cNvPr id="2" name="TextBox 8">
          <a:extLst xmlns:a="http://schemas.openxmlformats.org/drawingml/2006/main">
            <a:ext uri="{FF2B5EF4-FFF2-40B4-BE49-F238E27FC236}">
              <a16:creationId xmlns:xdr="http://schemas.openxmlformats.org/drawingml/2006/spreadsheetDrawing" xmlns:a16="http://schemas.microsoft.com/office/drawing/2014/main" xmlns="" xmlns:lc="http://schemas.openxmlformats.org/drawingml/2006/lockedCanvas" id="{00000000-0008-0000-0000-000009000000}"/>
            </a:ext>
          </a:extLst>
        </cdr:cNvPr>
        <cdr:cNvSpPr txBox="1"/>
      </cdr:nvSpPr>
      <cdr:spPr>
        <a:xfrm xmlns:a="http://schemas.openxmlformats.org/drawingml/2006/main">
          <a:off x="124691" y="235526"/>
          <a:ext cx="457200" cy="44334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ru-RU" sz="1600" b="0" i="0">
              <a:latin typeface="Times New Roman" pitchFamily="18" charset="0"/>
              <a:cs typeface="Times New Roman" pitchFamily="18" charset="0"/>
            </a:rPr>
            <a:t>С</a:t>
          </a:r>
          <a:r>
            <a:rPr lang="en-US" sz="1600" b="0" i="0">
              <a:latin typeface="Times New Roman" pitchFamily="18" charset="0"/>
              <a:cs typeface="Times New Roman" pitchFamily="18" charset="0"/>
            </a:rPr>
            <a:t>p</a:t>
          </a:r>
          <a:endParaRPr lang="ru-RU" sz="160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0.91117</cdr:x>
      <cdr:y>0.49296</cdr:y>
    </cdr:from>
    <cdr:to>
      <cdr:x>0.95559</cdr:x>
      <cdr:y>0.55734</cdr:y>
    </cdr:to>
    <cdr:sp macro="" textlink="">
      <cdr:nvSpPr>
        <cdr:cNvPr id="4" name="TextBox 8">
          <a:extLst xmlns:a="http://schemas.openxmlformats.org/drawingml/2006/main">
            <a:ext uri="{FF2B5EF4-FFF2-40B4-BE49-F238E27FC236}">
              <a16:creationId xmlns="" xmlns:a16="http://schemas.microsoft.com/office/drawing/2014/main" xmlns:xdr="http://schemas.openxmlformats.org/drawingml/2006/spreadsheetDrawing" xmlns:lc="http://schemas.openxmlformats.org/drawingml/2006/lockedCanvas" id="{00000000-0008-0000-0000-000009000000}"/>
            </a:ext>
          </a:extLst>
        </cdr:cNvPr>
        <cdr:cNvSpPr txBox="1"/>
      </cdr:nvSpPr>
      <cdr:spPr>
        <a:xfrm xmlns:a="http://schemas.openxmlformats.org/drawingml/2006/main">
          <a:off x="9379528" y="3394364"/>
          <a:ext cx="457200" cy="44334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600" b="0" i="0">
              <a:latin typeface="Times New Roman" pitchFamily="18" charset="0"/>
              <a:cs typeface="Times New Roman" pitchFamily="18" charset="0"/>
            </a:rPr>
            <a:t>N</a:t>
          </a:r>
          <a:r>
            <a:rPr lang="en-US" sz="1600" b="0" i="0" baseline="0">
              <a:latin typeface="Times New Roman" pitchFamily="18" charset="0"/>
              <a:cs typeface="Times New Roman" pitchFamily="18" charset="0"/>
            </a:rPr>
            <a:t> </a:t>
          </a:r>
          <a:r>
            <a:rPr lang="ru-RU" sz="1600" b="0" i="0">
              <a:latin typeface="Times New Roman" pitchFamily="18" charset="0"/>
              <a:cs typeface="Times New Roman" pitchFamily="18" charset="0"/>
            </a:rPr>
            <a:t>сечения</a:t>
          </a:r>
        </a:p>
        <a:p xmlns:a="http://schemas.openxmlformats.org/drawingml/2006/main">
          <a:endParaRPr lang="ru-RU" sz="16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AM90"/>
  <sheetViews>
    <sheetView tabSelected="1" zoomScale="55" zoomScaleNormal="55" workbookViewId="0">
      <selection activeCell="C28" sqref="C28"/>
    </sheetView>
  </sheetViews>
  <sheetFormatPr defaultRowHeight="18"/>
  <cols>
    <col min="1" max="1" width="8.88671875" style="2"/>
    <col min="2" max="2" width="9.44140625" style="2" bestFit="1" customWidth="1"/>
    <col min="3" max="4" width="8.88671875" style="2"/>
    <col min="5" max="5" width="9.44140625" style="2" bestFit="1" customWidth="1"/>
    <col min="6" max="16384" width="8.88671875" style="2"/>
  </cols>
  <sheetData>
    <row r="2" spans="1:39">
      <c r="A2" s="2" t="s">
        <v>16</v>
      </c>
      <c r="X2" s="5" t="s">
        <v>22</v>
      </c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>
      <c r="A3" s="2" t="s">
        <v>4</v>
      </c>
      <c r="B3" s="2">
        <v>0.04</v>
      </c>
      <c r="X3" s="1" t="s">
        <v>17</v>
      </c>
      <c r="Y3" s="1">
        <v>1</v>
      </c>
      <c r="Z3" s="1">
        <v>2</v>
      </c>
      <c r="AA3" s="1">
        <v>3</v>
      </c>
      <c r="AB3" s="1">
        <v>4</v>
      </c>
      <c r="AC3" s="1">
        <v>5</v>
      </c>
      <c r="AD3" s="1">
        <v>6</v>
      </c>
      <c r="AE3" s="1">
        <v>7</v>
      </c>
      <c r="AF3" s="1">
        <v>8</v>
      </c>
      <c r="AG3" s="1">
        <v>9</v>
      </c>
      <c r="AH3" s="1">
        <v>10</v>
      </c>
      <c r="AI3" s="1">
        <v>11</v>
      </c>
      <c r="AJ3" s="1">
        <v>12</v>
      </c>
      <c r="AK3" s="1">
        <v>13</v>
      </c>
      <c r="AL3" s="1">
        <v>14</v>
      </c>
      <c r="AM3" s="1">
        <v>15</v>
      </c>
    </row>
    <row r="4" spans="1:39" ht="18.600000000000001" thickBot="1">
      <c r="A4" s="5" t="s">
        <v>6</v>
      </c>
      <c r="B4" s="5"/>
      <c r="C4" s="5"/>
      <c r="X4" s="1" t="s">
        <v>10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</row>
    <row r="5" spans="1:39" ht="19.2" thickTop="1" thickBot="1">
      <c r="A5" s="2" t="s">
        <v>1</v>
      </c>
      <c r="B5" s="2">
        <v>0.02</v>
      </c>
      <c r="E5" s="1" t="s">
        <v>10</v>
      </c>
      <c r="F5" s="1"/>
      <c r="G5" s="4">
        <v>1</v>
      </c>
      <c r="H5" s="4">
        <v>2</v>
      </c>
      <c r="I5" s="4">
        <v>3</v>
      </c>
      <c r="J5" s="4">
        <v>4</v>
      </c>
      <c r="K5" s="4">
        <v>5</v>
      </c>
      <c r="L5" s="4">
        <v>6</v>
      </c>
      <c r="M5" s="4">
        <v>7</v>
      </c>
      <c r="N5" s="4">
        <v>8</v>
      </c>
      <c r="O5" s="4">
        <v>9</v>
      </c>
      <c r="P5" s="4">
        <v>10</v>
      </c>
      <c r="Q5" s="4">
        <v>11</v>
      </c>
      <c r="R5" s="4">
        <v>12</v>
      </c>
      <c r="S5" s="4">
        <v>13</v>
      </c>
      <c r="T5" s="4">
        <v>14</v>
      </c>
      <c r="U5" s="4">
        <v>15</v>
      </c>
      <c r="V5" s="1"/>
      <c r="X5" s="1" t="s">
        <v>18</v>
      </c>
      <c r="Y5" s="1">
        <v>1</v>
      </c>
      <c r="Z5" s="1">
        <v>2</v>
      </c>
      <c r="AA5" s="1">
        <v>3</v>
      </c>
      <c r="AB5" s="1">
        <v>4</v>
      </c>
      <c r="AC5" s="1">
        <v>5</v>
      </c>
      <c r="AD5" s="1">
        <v>6</v>
      </c>
      <c r="AE5" s="1">
        <v>7</v>
      </c>
      <c r="AF5" s="1">
        <v>8</v>
      </c>
      <c r="AG5" s="1">
        <v>9</v>
      </c>
      <c r="AH5" s="1">
        <v>10</v>
      </c>
      <c r="AI5" s="1">
        <v>11</v>
      </c>
      <c r="AJ5" s="1">
        <v>12</v>
      </c>
      <c r="AK5" s="1">
        <v>13</v>
      </c>
      <c r="AL5" s="1">
        <v>14</v>
      </c>
      <c r="AM5" s="1">
        <v>15</v>
      </c>
    </row>
    <row r="6" spans="1:39" ht="19.2" thickTop="1" thickBot="1">
      <c r="A6" s="2" t="s">
        <v>2</v>
      </c>
      <c r="B6" s="2">
        <v>0.04</v>
      </c>
      <c r="F6" s="4">
        <v>0.4</v>
      </c>
      <c r="G6" s="1">
        <f>G7+B8*B3</f>
        <v>2</v>
      </c>
      <c r="H6" s="1">
        <f>G6</f>
        <v>2</v>
      </c>
      <c r="I6" s="1">
        <f t="shared" ref="I6:T6" si="0">H6</f>
        <v>2</v>
      </c>
      <c r="J6" s="1">
        <f t="shared" si="0"/>
        <v>2</v>
      </c>
      <c r="K6" s="1">
        <f t="shared" si="0"/>
        <v>2</v>
      </c>
      <c r="L6" s="1">
        <f t="shared" si="0"/>
        <v>2</v>
      </c>
      <c r="M6" s="1">
        <f t="shared" si="0"/>
        <v>2</v>
      </c>
      <c r="N6" s="1">
        <f t="shared" si="0"/>
        <v>2</v>
      </c>
      <c r="O6" s="1">
        <f t="shared" si="0"/>
        <v>2</v>
      </c>
      <c r="P6" s="1">
        <f t="shared" si="0"/>
        <v>2</v>
      </c>
      <c r="Q6" s="1">
        <f t="shared" si="0"/>
        <v>2</v>
      </c>
      <c r="R6" s="1">
        <f t="shared" si="0"/>
        <v>2</v>
      </c>
      <c r="S6" s="1">
        <f t="shared" si="0"/>
        <v>2</v>
      </c>
      <c r="T6" s="1">
        <f t="shared" si="0"/>
        <v>2</v>
      </c>
      <c r="U6" s="1">
        <f>U7+B13*B3</f>
        <v>1.9999999999999998</v>
      </c>
      <c r="V6" s="4">
        <v>0.4</v>
      </c>
      <c r="X6" s="1" t="s">
        <v>19</v>
      </c>
      <c r="Y6" s="1">
        <v>0.2</v>
      </c>
      <c r="Z6" s="1">
        <v>0.2</v>
      </c>
      <c r="AA6" s="1">
        <v>0.2</v>
      </c>
      <c r="AB6" s="1">
        <v>0.2</v>
      </c>
      <c r="AC6" s="1">
        <v>0.16</v>
      </c>
      <c r="AD6" s="1">
        <v>0.12</v>
      </c>
      <c r="AE6" s="1">
        <v>0.08</v>
      </c>
      <c r="AF6" s="1">
        <v>0.04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</row>
    <row r="7" spans="1:39" ht="19.2" thickTop="1" thickBot="1">
      <c r="A7" s="5" t="s">
        <v>8</v>
      </c>
      <c r="B7" s="5"/>
      <c r="C7" s="5"/>
      <c r="F7" s="4">
        <v>0.36</v>
      </c>
      <c r="G7" s="1">
        <f>G8+B8*B3</f>
        <v>1.6</v>
      </c>
      <c r="H7" s="1">
        <f>0.25*(G21+H20+I21+H22)</f>
        <v>1.6097183892137612</v>
      </c>
      <c r="I7" s="1">
        <f t="shared" ref="I7:T7" si="1">0.25*(H21+I20+J21+I22)</f>
        <v>1.6217224945200501</v>
      </c>
      <c r="J7" s="1">
        <f t="shared" si="1"/>
        <v>1.6378699244095749</v>
      </c>
      <c r="K7" s="1">
        <f t="shared" si="1"/>
        <v>1.6585280386129106</v>
      </c>
      <c r="L7" s="1">
        <f t="shared" si="1"/>
        <v>1.6812838914634303</v>
      </c>
      <c r="M7" s="1">
        <f t="shared" si="1"/>
        <v>1.7035574851862592</v>
      </c>
      <c r="N7" s="1">
        <f t="shared" si="1"/>
        <v>1.7237256205831355</v>
      </c>
      <c r="O7" s="1">
        <f t="shared" si="1"/>
        <v>1.7411087022977312</v>
      </c>
      <c r="P7" s="1">
        <f t="shared" si="1"/>
        <v>1.7556535763903525</v>
      </c>
      <c r="Q7" s="1">
        <f t="shared" si="1"/>
        <v>1.7676531811374896</v>
      </c>
      <c r="R7" s="1">
        <f t="shared" si="1"/>
        <v>1.7775647678122259</v>
      </c>
      <c r="S7" s="1">
        <f t="shared" si="1"/>
        <v>1.7859073771159586</v>
      </c>
      <c r="T7" s="1">
        <f t="shared" si="1"/>
        <v>1.7932114049597216</v>
      </c>
      <c r="U7" s="1">
        <f>U8+B13*B3</f>
        <v>1.7999999999999998</v>
      </c>
      <c r="V7" s="4">
        <v>0.36</v>
      </c>
      <c r="X7" s="1" t="s">
        <v>11</v>
      </c>
      <c r="Y7" s="1">
        <f>G39</f>
        <v>10</v>
      </c>
      <c r="Z7" s="1">
        <f t="shared" ref="Z7:AB7" si="2">H39</f>
        <v>10.35204916661964</v>
      </c>
      <c r="AA7" s="1">
        <f t="shared" si="2"/>
        <v>10.918590253194722</v>
      </c>
      <c r="AB7" s="1">
        <f t="shared" si="2"/>
        <v>12.144709989809717</v>
      </c>
      <c r="AC7" s="1">
        <f>K40</f>
        <v>6.6209992355202987</v>
      </c>
      <c r="AD7" s="1">
        <f>L41</f>
        <v>4.9903624697092672</v>
      </c>
      <c r="AE7" s="1">
        <f>M42</f>
        <v>3.96998172772193</v>
      </c>
      <c r="AF7" s="1">
        <f>N43</f>
        <v>3.1139719776392289</v>
      </c>
      <c r="AG7" s="1">
        <f t="shared" ref="AG7:AL7" si="3">O44</f>
        <v>2.1564634742996893</v>
      </c>
      <c r="AH7" s="1">
        <f t="shared" si="3"/>
        <v>3.2318664201598111</v>
      </c>
      <c r="AI7" s="1">
        <f t="shared" si="3"/>
        <v>3.8587520919930043</v>
      </c>
      <c r="AJ7" s="1">
        <f t="shared" si="3"/>
        <v>4.2684904818484606</v>
      </c>
      <c r="AK7" s="1">
        <f t="shared" si="3"/>
        <v>4.5626432350217279</v>
      </c>
      <c r="AL7" s="1">
        <f t="shared" si="3"/>
        <v>4.7949815612147759</v>
      </c>
      <c r="AM7" s="1">
        <f>U44</f>
        <v>5</v>
      </c>
    </row>
    <row r="8" spans="1:39" ht="19.2" thickTop="1" thickBot="1">
      <c r="A8" s="2" t="s">
        <v>12</v>
      </c>
      <c r="B8" s="2">
        <v>10</v>
      </c>
      <c r="F8" s="4">
        <v>0.32</v>
      </c>
      <c r="G8" s="1">
        <f>G9+B8*B3</f>
        <v>1.2000000000000002</v>
      </c>
      <c r="H8" s="1">
        <f>0.25*(G22+H21+I22+H23)</f>
        <v>1.2171510884727907</v>
      </c>
      <c r="I8" s="1">
        <f t="shared" ref="I8" si="4">0.25*(H22+I21+J22+I23)</f>
        <v>1.2393017219522116</v>
      </c>
      <c r="J8" s="1">
        <f t="shared" ref="J8" si="5">0.25*(I22+J21+K22+J23)</f>
        <v>1.2712292550700948</v>
      </c>
      <c r="K8" s="1">
        <f t="shared" ref="K8" si="6">0.25*(J22+K21+L22+K23)</f>
        <v>1.314958475268539</v>
      </c>
      <c r="L8" s="1">
        <f t="shared" ref="L8" si="7">0.25*(K22+L21+M22+L23)</f>
        <v>1.3630502185946498</v>
      </c>
      <c r="M8" s="1">
        <f t="shared" ref="M8" si="8">0.25*(L22+M21+N22+M23)</f>
        <v>1.4092206556476823</v>
      </c>
      <c r="N8" s="1">
        <f t="shared" ref="N8" si="9">0.25*(M22+N21+O22+N23)</f>
        <v>1.4502365479139212</v>
      </c>
      <c r="O8" s="1">
        <f t="shared" ref="O8" si="10">0.25*(N22+O21+P22+O23)</f>
        <v>1.4850558948679602</v>
      </c>
      <c r="P8" s="1">
        <f t="shared" ref="P8" si="11">0.25*(O22+P21+Q22+P23)</f>
        <v>1.5138526958432563</v>
      </c>
      <c r="Q8" s="1">
        <f t="shared" ref="Q8" si="12">0.25*(P22+Q21+R22+Q23)</f>
        <v>1.537394643081925</v>
      </c>
      <c r="R8" s="1">
        <f t="shared" ref="R8" si="13">0.25*(Q22+R21+S22+R23)</f>
        <v>1.5566987254605253</v>
      </c>
      <c r="S8" s="1">
        <f t="shared" ref="S8" si="14">0.25*(R22+S21+T22+S23)</f>
        <v>1.5728534942917043</v>
      </c>
      <c r="T8" s="1">
        <f t="shared" ref="T8" si="15">0.25*(S22+T21+U22+T23)</f>
        <v>1.5869383228453637</v>
      </c>
      <c r="U8" s="1">
        <f>U9+B13*B3</f>
        <v>1.5999999999999999</v>
      </c>
      <c r="V8" s="4">
        <v>0.32</v>
      </c>
      <c r="X8" s="1" t="s">
        <v>14</v>
      </c>
      <c r="Y8" s="1">
        <f>G53</f>
        <v>0</v>
      </c>
      <c r="Z8" s="1">
        <f>H67</f>
        <v>10.35204916661964</v>
      </c>
      <c r="AA8" s="1">
        <f>I67</f>
        <v>10.918590253194722</v>
      </c>
      <c r="AB8" s="1">
        <f>J67</f>
        <v>13.832267045330795</v>
      </c>
      <c r="AC8" s="1">
        <f>K54</f>
        <v>-4.9903624697092672</v>
      </c>
      <c r="AD8" s="1">
        <f>L55</f>
        <v>-3.96998172772193</v>
      </c>
      <c r="AE8" s="1">
        <f>M56</f>
        <v>-3.1139719776392289</v>
      </c>
      <c r="AF8" s="1">
        <f>N57</f>
        <v>-2.1564634742996893</v>
      </c>
      <c r="AG8" s="1">
        <f>O58</f>
        <v>0</v>
      </c>
      <c r="AH8" s="1">
        <f t="shared" ref="AH8:AM8" si="16">P58</f>
        <v>0</v>
      </c>
      <c r="AI8" s="1">
        <f t="shared" si="16"/>
        <v>0</v>
      </c>
      <c r="AJ8" s="1">
        <f t="shared" si="16"/>
        <v>0</v>
      </c>
      <c r="AK8" s="1">
        <f t="shared" si="16"/>
        <v>0</v>
      </c>
      <c r="AL8" s="1">
        <f t="shared" si="16"/>
        <v>0</v>
      </c>
      <c r="AM8" s="1">
        <f t="shared" si="16"/>
        <v>0</v>
      </c>
    </row>
    <row r="9" spans="1:39" ht="19.2" thickTop="1" thickBot="1">
      <c r="A9" s="2" t="s">
        <v>3</v>
      </c>
      <c r="B9" s="2">
        <v>101325</v>
      </c>
      <c r="F9" s="4">
        <v>0.28000000000000003</v>
      </c>
      <c r="G9" s="1">
        <f>G10+B8*B3</f>
        <v>0.8</v>
      </c>
      <c r="H9" s="1">
        <f t="shared" ref="H9:J10" si="17">0.25*(G23+H22+I23+H24)</f>
        <v>0.81958428817716789</v>
      </c>
      <c r="I9" s="1">
        <f t="shared" si="17"/>
        <v>0.84710414395653322</v>
      </c>
      <c r="J9" s="1">
        <f t="shared" si="17"/>
        <v>0.89278706116663575</v>
      </c>
      <c r="K9" s="1">
        <f t="shared" ref="K9" si="18">0.25*(J23+K22+L23+K24)</f>
        <v>0.96702662311835141</v>
      </c>
      <c r="L9" s="1">
        <f t="shared" ref="L9" si="19">0.25*(K23+L22+M23+L24)</f>
        <v>1.0467381836874876</v>
      </c>
      <c r="M9" s="1">
        <f t="shared" ref="M9" si="20">0.25*(L23+M22+N23+M24)</f>
        <v>1.120038773820115</v>
      </c>
      <c r="N9" s="1">
        <f t="shared" ref="N9" si="21">0.25*(M23+N22+O23+N24)</f>
        <v>1.1829445076902636</v>
      </c>
      <c r="O9" s="1">
        <f t="shared" ref="O9" si="22">0.25*(N23+O22+P23+O24)</f>
        <v>1.2350261434962588</v>
      </c>
      <c r="P9" s="1">
        <f t="shared" ref="P9" si="23">0.25*(O23+P22+Q23+P24)</f>
        <v>1.2773072017204274</v>
      </c>
      <c r="Q9" s="1">
        <f t="shared" ref="Q9" si="24">0.25*(P23+Q22+R23+Q24)</f>
        <v>1.3113744475072573</v>
      </c>
      <c r="R9" s="1">
        <f t="shared" ref="R9" si="25">0.25*(Q23+R22+S23+R24)</f>
        <v>1.3389824121451097</v>
      </c>
      <c r="S9" s="1">
        <f t="shared" ref="S9" si="26">0.25*(R23+S22+T23+S24)</f>
        <v>1.3618698409575432</v>
      </c>
      <c r="T9" s="1">
        <f t="shared" ref="T9" si="27">0.25*(S23+T22+U23+T24)</f>
        <v>1.3816885491035693</v>
      </c>
      <c r="U9" s="1">
        <f>U10+B13*B3</f>
        <v>1.4</v>
      </c>
      <c r="V9" s="4">
        <v>0.28000000000000003</v>
      </c>
      <c r="X9" s="1" t="s">
        <v>15</v>
      </c>
      <c r="Y9" s="1">
        <f>G67</f>
        <v>10</v>
      </c>
      <c r="Z9" s="1">
        <f t="shared" ref="Z9:AB9" si="28">H67</f>
        <v>10.35204916661964</v>
      </c>
      <c r="AA9" s="1">
        <f t="shared" si="28"/>
        <v>10.918590253194722</v>
      </c>
      <c r="AB9" s="1">
        <f t="shared" si="28"/>
        <v>13.832267045330795</v>
      </c>
      <c r="AC9" s="1">
        <f>K68</f>
        <v>8.2910402517321771</v>
      </c>
      <c r="AD9" s="1">
        <f>L69</f>
        <v>6.3768701176618592</v>
      </c>
      <c r="AE9" s="1">
        <f>M70</f>
        <v>5.0455501579082904</v>
      </c>
      <c r="AF9" s="1">
        <f>N71</f>
        <v>3.7877640097438827</v>
      </c>
      <c r="AG9" s="1">
        <f>O72</f>
        <v>2.1564634742996893</v>
      </c>
      <c r="AH9" s="1">
        <f t="shared" ref="AH9:AM9" si="29">P72</f>
        <v>3.2318664201598111</v>
      </c>
      <c r="AI9" s="1">
        <f t="shared" si="29"/>
        <v>3.8587520919930043</v>
      </c>
      <c r="AJ9" s="1">
        <f t="shared" si="29"/>
        <v>4.2684904818484606</v>
      </c>
      <c r="AK9" s="1">
        <f t="shared" si="29"/>
        <v>4.5626432350217279</v>
      </c>
      <c r="AL9" s="1">
        <f t="shared" si="29"/>
        <v>4.7949815612147759</v>
      </c>
      <c r="AM9" s="1">
        <f t="shared" si="29"/>
        <v>5</v>
      </c>
    </row>
    <row r="10" spans="1:39" ht="19.2" thickTop="1" thickBot="1">
      <c r="A10" s="1" t="s">
        <v>7</v>
      </c>
      <c r="B10" s="1"/>
      <c r="F10" s="4">
        <v>0.24</v>
      </c>
      <c r="G10" s="1">
        <f>G11+B8*B3</f>
        <v>0.4</v>
      </c>
      <c r="H10" s="1">
        <f t="shared" si="17"/>
        <v>0.41408196666478558</v>
      </c>
      <c r="I10" s="1">
        <f t="shared" si="17"/>
        <v>0.43674361012778889</v>
      </c>
      <c r="J10" s="1">
        <f t="shared" si="17"/>
        <v>0.48578839959238868</v>
      </c>
      <c r="K10" s="1">
        <f t="shared" ref="K10:K11" si="30">0.25*(J24+K23+L24+K25)</f>
        <v>0.61362306436479519</v>
      </c>
      <c r="L10" s="1">
        <f t="shared" ref="L10:L12" si="31">0.25*(K24+L23+M24+L25)</f>
        <v>0.73683752218109899</v>
      </c>
      <c r="M10" s="1">
        <f t="shared" ref="M10" si="32">0.25*(L24+M23+N24+M25)</f>
        <v>0.84125228945684472</v>
      </c>
      <c r="N10" s="1">
        <f t="shared" ref="N10" si="33">0.25*(M24+N23+O24+N25)</f>
        <v>0.9264771864387028</v>
      </c>
      <c r="O10" s="1">
        <f t="shared" ref="O10" si="34">0.25*(N24+O23+P24+O25)</f>
        <v>0.99479767625314908</v>
      </c>
      <c r="P10" s="1">
        <f t="shared" ref="P10" si="35">0.25*(O24+P23+Q24+P25)</f>
        <v>1.048976212703812</v>
      </c>
      <c r="Q10" s="1">
        <f t="shared" ref="Q10" si="36">0.25*(P24+Q23+R24+Q25)</f>
        <v>1.0918142033465652</v>
      </c>
      <c r="R10" s="1">
        <f t="shared" ref="R10" si="37">0.25*(Q24+R23+S24+R25)</f>
        <v>1.1259871795163416</v>
      </c>
      <c r="S10" s="1">
        <f t="shared" ref="S10" si="38">0.25*(R24+S23+T24+S25)</f>
        <v>1.153955316331525</v>
      </c>
      <c r="T10" s="1">
        <f t="shared" ref="T10" si="39">0.25*(S24+T23+U24+T25)</f>
        <v>1.1779462391106847</v>
      </c>
      <c r="U10" s="1">
        <f>U11+B13*B3</f>
        <v>1.2</v>
      </c>
      <c r="V10" s="4">
        <v>0.24</v>
      </c>
      <c r="X10" s="1" t="s">
        <v>20</v>
      </c>
      <c r="Y10" s="1">
        <f>B17-B18*Y9^2/2</f>
        <v>76325</v>
      </c>
      <c r="Z10" s="1">
        <f>B17-B18*Z9^2/2</f>
        <v>74533.769512972402</v>
      </c>
      <c r="AA10" s="1">
        <f>B17-B18*AA9^2/2</f>
        <v>71521.096720710309</v>
      </c>
      <c r="AB10" s="1">
        <f>B17-B18*AB9^2/2</f>
        <v>53492.097096663922</v>
      </c>
      <c r="AC10" s="1">
        <f>B17-B18*AC9^2/2</f>
        <v>84139.662886039208</v>
      </c>
      <c r="AD10" s="1">
        <f>B17-B18*AD9^2/2</f>
        <v>91158.881875617808</v>
      </c>
      <c r="AE10" s="1">
        <f>B17-B18*AE9^2/2</f>
        <v>94960.605901007904</v>
      </c>
      <c r="AF10" s="1">
        <f>B17-B18*AF9^2/2</f>
        <v>97738.210951622241</v>
      </c>
      <c r="AG10" s="1">
        <f>B17-B18*AG9^2/2</f>
        <v>100162.41632100283</v>
      </c>
      <c r="AH10" s="1">
        <f>B17-B18*AH9^2/2</f>
        <v>98713.759860560851</v>
      </c>
      <c r="AI10" s="1">
        <f>B17-B18*AI9^2/2</f>
        <v>97602.508073134901</v>
      </c>
      <c r="AJ10" s="1">
        <f>B17-B18*AJ9^2/2</f>
        <v>96769.997251592271</v>
      </c>
      <c r="AK10" s="1">
        <f>B17-B18*AK9^2/2</f>
        <v>96120.571677477623</v>
      </c>
      <c r="AL10" s="1">
        <f>B17-B18*AL9^2/2</f>
        <v>95577.037956902583</v>
      </c>
      <c r="AM10" s="1">
        <f>B17-B18*AM9^2/2</f>
        <v>95075</v>
      </c>
    </row>
    <row r="11" spans="1:39" ht="19.2" thickTop="1" thickBot="1">
      <c r="A11" s="2" t="s">
        <v>5</v>
      </c>
      <c r="B11" s="2">
        <f>(F6-F11)*B8</f>
        <v>2</v>
      </c>
      <c r="E11" s="1"/>
      <c r="F11" s="4">
        <v>0.2</v>
      </c>
      <c r="G11" s="1">
        <f>0</f>
        <v>0</v>
      </c>
      <c r="H11" s="1">
        <v>0</v>
      </c>
      <c r="I11" s="1">
        <v>0</v>
      </c>
      <c r="J11" s="1">
        <v>0</v>
      </c>
      <c r="K11" s="1">
        <f t="shared" si="30"/>
        <v>0.26483996942081195</v>
      </c>
      <c r="L11" s="1">
        <f t="shared" si="31"/>
        <v>0.44573697344150454</v>
      </c>
      <c r="M11" s="1">
        <f t="shared" ref="M11" si="40">0.25*(L25+M24+N25+M26)</f>
        <v>0.58165623391004118</v>
      </c>
      <c r="N11" s="1">
        <f t="shared" ref="N11" si="41">0.25*(M25+N24+O25+N26)</f>
        <v>0.68691498300477172</v>
      </c>
      <c r="O11" s="1">
        <f t="shared" ref="O11" si="42">0.25*(N25+O24+P25+O26)</f>
        <v>0.76871193058031961</v>
      </c>
      <c r="P11" s="1">
        <f t="shared" ref="P11" si="43">0.25*(O25+P24+Q25+P26)</f>
        <v>0.83198658816835103</v>
      </c>
      <c r="Q11" s="1">
        <f t="shared" ref="Q11" si="44">0.25*(P25+Q24+R25+Q26)</f>
        <v>0.88091971727632346</v>
      </c>
      <c r="R11" s="1">
        <f t="shared" ref="R11" si="45">0.25*(Q25+R24+S25+R26)</f>
        <v>0.91919743845831647</v>
      </c>
      <c r="S11" s="1">
        <f t="shared" ref="S11" si="46">0.25*(R25+S24+T25+S26)</f>
        <v>0.95001846200944162</v>
      </c>
      <c r="T11" s="1">
        <f t="shared" ref="T11" si="47">0.25*(S25+T24+U25+T26)</f>
        <v>0.97614133931865543</v>
      </c>
      <c r="U11" s="1">
        <f>U12+B13*B3</f>
        <v>1</v>
      </c>
      <c r="V11" s="4">
        <v>0.2</v>
      </c>
      <c r="X11" s="1" t="s">
        <v>24</v>
      </c>
      <c r="Y11" s="1">
        <v>0</v>
      </c>
      <c r="Z11" s="1">
        <f>-(Y10-Z10)/(B18*Y9^2/2)</f>
        <v>-7.1649219481103935E-2</v>
      </c>
      <c r="AA11" s="1">
        <f>-(Y10-AA10)/(B18*Y9^2/2)</f>
        <v>-0.19215613117158761</v>
      </c>
      <c r="AB11" s="1">
        <f>-(Y10-AB10)/(B18*Y9^2/2)</f>
        <v>-0.9133161161334431</v>
      </c>
      <c r="AC11" s="1">
        <f>-(Y10-AC10)/(B18*Y9^2/2)</f>
        <v>0.31258651544156835</v>
      </c>
      <c r="AD11" s="1">
        <f>-(Y10-AD10)/(B18*Y9^2/2)</f>
        <v>0.5933552750247123</v>
      </c>
      <c r="AE11" s="1">
        <f>-(Y10-AE10)/(B18*Y9^2/2)</f>
        <v>0.74542423604031616</v>
      </c>
      <c r="AF11" s="1">
        <f>-(Y10-AF10)/(B18*Y9^2/2)</f>
        <v>0.85652843806488965</v>
      </c>
      <c r="AG11" s="1">
        <f>-(Y10-AG10)/(B18*Y9^2/2)</f>
        <v>0.95349665284011342</v>
      </c>
      <c r="AH11" s="1">
        <f>-(Y10-AH10)/(B18*Y9^2/2)</f>
        <v>0.895550394422434</v>
      </c>
      <c r="AI11" s="1">
        <f>-(Y10-AI10)/(B18*Y9^2/2)</f>
        <v>0.85110032292539606</v>
      </c>
      <c r="AJ11" s="1">
        <f>-(Y10-AJ10)/(B18*Y9^2/2)</f>
        <v>0.8177998900636908</v>
      </c>
      <c r="AK11" s="1">
        <f>-(Y10-AK10)/(B18*Y9^2/2)</f>
        <v>0.79182286709910488</v>
      </c>
      <c r="AL11" s="1">
        <f>-(Y10-AL10)/(B18*Y9^2/2)</f>
        <v>0.77008151827610327</v>
      </c>
      <c r="AM11" s="1">
        <f>-(Y10-AM10)/(B18*Y9^2/2)</f>
        <v>0.75</v>
      </c>
    </row>
    <row r="12" spans="1:39" ht="19.2" thickTop="1" thickBot="1">
      <c r="A12" s="5" t="s">
        <v>9</v>
      </c>
      <c r="B12" s="5"/>
      <c r="C12" s="5"/>
      <c r="F12" s="4">
        <v>0.16</v>
      </c>
      <c r="G12" s="1"/>
      <c r="H12" s="1"/>
      <c r="I12" s="1"/>
      <c r="J12" s="1"/>
      <c r="K12" s="1">
        <v>0</v>
      </c>
      <c r="L12" s="1">
        <f t="shared" si="31"/>
        <v>0.19961449878837068</v>
      </c>
      <c r="M12" s="1">
        <f t="shared" ref="M12" si="48">0.25*(L26+M25+N26+M27)</f>
        <v>0.35272121547748558</v>
      </c>
      <c r="N12" s="1">
        <f t="shared" ref="N12" si="49">0.25*(M26+N25+O26+N27)</f>
        <v>0.47081524036852723</v>
      </c>
      <c r="O12" s="1">
        <f t="shared" ref="O12" si="50">0.25*(N26+O25+P26+O27)</f>
        <v>0.561149264712827</v>
      </c>
      <c r="P12" s="1">
        <f t="shared" ref="P12" si="51">0.25*(O26+P25+Q26+P27)</f>
        <v>0.62933929080227335</v>
      </c>
      <c r="Q12" s="1">
        <f t="shared" ref="Q12" si="52">0.25*(P26+Q25+R26+Q27)</f>
        <v>0.68068142681851895</v>
      </c>
      <c r="R12" s="1">
        <f t="shared" ref="R12" si="53">0.25*(Q26+R25+S26+R27)</f>
        <v>0.71986504284345298</v>
      </c>
      <c r="S12" s="1">
        <f t="shared" ref="S12" si="54">0.25*(R26+S25+T26+S27)</f>
        <v>0.75078024243504315</v>
      </c>
      <c r="T12" s="1">
        <f t="shared" ref="T12" si="55">0.25*(S26+T25+U26+T27)</f>
        <v>0.77660090427966033</v>
      </c>
      <c r="U12" s="1">
        <f>U13+B13*B3</f>
        <v>0.8</v>
      </c>
      <c r="V12" s="4">
        <v>0.16</v>
      </c>
      <c r="X12" s="5" t="s">
        <v>23</v>
      </c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19.2" thickTop="1" thickBot="1">
      <c r="A13" s="2" t="s">
        <v>13</v>
      </c>
      <c r="B13" s="2">
        <f>B11/(V6-V16)</f>
        <v>5</v>
      </c>
      <c r="F13" s="4">
        <v>0.12</v>
      </c>
      <c r="G13" s="1"/>
      <c r="I13" s="1"/>
      <c r="J13" s="1"/>
      <c r="K13" s="1"/>
      <c r="L13" s="1">
        <v>0</v>
      </c>
      <c r="M13" s="1">
        <f t="shared" ref="M13" si="56">0.25*(L27+M26+N27+M28)</f>
        <v>0.15879926910887721</v>
      </c>
      <c r="N13" s="1">
        <f t="shared" ref="N13" si="57">0.25*(M27+N26+O27+N28)</f>
        <v>0.28247606873053632</v>
      </c>
      <c r="O13" s="1">
        <f t="shared" ref="O13" si="58">0.25*(N27+O26+P27+O28)</f>
        <v>0.37573126825613307</v>
      </c>
      <c r="P13" s="1">
        <f t="shared" ref="P13" si="59">0.25*(O27+P26+Q27+P28)</f>
        <v>0.44354063308085562</v>
      </c>
      <c r="Q13" s="1">
        <f t="shared" ref="Q13" si="60">0.25*(P27+Q26+R27+Q28)</f>
        <v>0.49260235574470207</v>
      </c>
      <c r="R13" s="1">
        <f t="shared" ref="R13" si="61">0.25*(Q27+R26+S27+R28)</f>
        <v>0.52880168675242711</v>
      </c>
      <c r="S13" s="1">
        <f t="shared" ref="S13" si="62">0.25*(R27+S26+T27+S28)</f>
        <v>0.55663700041376751</v>
      </c>
      <c r="T13" s="1">
        <f t="shared" ref="T13" si="63">0.25*(S27+T26+U27+T28)</f>
        <v>0.57948227582366807</v>
      </c>
      <c r="U13" s="1">
        <f>U14+B13*B3</f>
        <v>0.60000000000000009</v>
      </c>
      <c r="V13" s="4">
        <v>0.12</v>
      </c>
      <c r="X13" s="1" t="s">
        <v>17</v>
      </c>
      <c r="Y13" s="1">
        <v>1</v>
      </c>
      <c r="Z13" s="1">
        <v>2</v>
      </c>
      <c r="AA13" s="1">
        <v>3</v>
      </c>
      <c r="AB13" s="1">
        <v>4</v>
      </c>
      <c r="AC13" s="1">
        <v>5</v>
      </c>
      <c r="AD13" s="1">
        <v>6</v>
      </c>
      <c r="AE13" s="1">
        <v>7</v>
      </c>
      <c r="AF13" s="1">
        <v>8</v>
      </c>
      <c r="AG13" s="1">
        <v>9</v>
      </c>
      <c r="AH13" s="1">
        <v>10</v>
      </c>
      <c r="AI13" s="1">
        <v>11</v>
      </c>
      <c r="AJ13" s="1">
        <v>12</v>
      </c>
      <c r="AK13" s="1">
        <v>13</v>
      </c>
      <c r="AL13" s="1">
        <v>14</v>
      </c>
      <c r="AM13" s="1">
        <v>15</v>
      </c>
    </row>
    <row r="14" spans="1:39" ht="19.2" thickTop="1" thickBot="1">
      <c r="F14" s="4">
        <v>0.08</v>
      </c>
      <c r="G14" s="1"/>
      <c r="I14" s="1"/>
      <c r="J14" s="1"/>
      <c r="K14" s="1"/>
      <c r="L14" s="1"/>
      <c r="M14" s="1">
        <v>0</v>
      </c>
      <c r="N14" s="1">
        <f t="shared" ref="N14" si="64">0.25*(M28+N27+O28+N29)</f>
        <v>0.12455887910556916</v>
      </c>
      <c r="O14" s="1">
        <f t="shared" ref="O14" si="65">0.25*(N28+O27+P28+O29)</f>
        <v>0.21575964010054183</v>
      </c>
      <c r="P14" s="1">
        <f t="shared" ref="P14" si="66">0.25*(O28+P27+Q28+P29)</f>
        <v>0.27649019797485863</v>
      </c>
      <c r="Q14" s="1">
        <f t="shared" ref="Q14" si="67">0.25*(P28+Q27+R28+Q29)</f>
        <v>0.31738627063397884</v>
      </c>
      <c r="R14" s="1">
        <f t="shared" ref="R14" si="68">0.25*(Q28+R27+S28+R29)</f>
        <v>0.34610284671241487</v>
      </c>
      <c r="S14" s="1">
        <f t="shared" ref="S14" si="69">0.25*(R28+S27+T28+S29)</f>
        <v>0.36748417682669976</v>
      </c>
      <c r="T14" s="1">
        <f t="shared" ref="T14" si="70">0.25*(S28+T27+U28+T29)</f>
        <v>0.38469139275737357</v>
      </c>
      <c r="U14" s="1">
        <f>U15+B13*B3</f>
        <v>0.4</v>
      </c>
      <c r="V14" s="4">
        <v>0.08</v>
      </c>
      <c r="X14" s="1" t="s">
        <v>10</v>
      </c>
      <c r="Y14" s="1">
        <v>2</v>
      </c>
      <c r="Z14" s="1">
        <v>2</v>
      </c>
      <c r="AA14" s="1">
        <v>2</v>
      </c>
      <c r="AB14" s="1">
        <v>2</v>
      </c>
      <c r="AC14" s="1">
        <v>2</v>
      </c>
      <c r="AD14" s="1">
        <v>2</v>
      </c>
      <c r="AE14" s="1">
        <v>2</v>
      </c>
      <c r="AF14" s="1">
        <v>2</v>
      </c>
      <c r="AG14" s="1">
        <v>2</v>
      </c>
      <c r="AH14" s="1">
        <v>2</v>
      </c>
      <c r="AI14" s="1">
        <v>2</v>
      </c>
      <c r="AJ14" s="1">
        <v>2</v>
      </c>
      <c r="AK14" s="1">
        <v>2</v>
      </c>
      <c r="AL14" s="1">
        <v>2</v>
      </c>
      <c r="AM14" s="1">
        <v>2</v>
      </c>
    </row>
    <row r="15" spans="1:39" ht="19.2" thickTop="1" thickBot="1">
      <c r="A15" s="2" t="s">
        <v>0</v>
      </c>
      <c r="B15" s="2">
        <v>10</v>
      </c>
      <c r="C15" s="2">
        <v>10.040000000000001</v>
      </c>
      <c r="F15" s="4">
        <v>0.04</v>
      </c>
      <c r="G15" s="1"/>
      <c r="H15" s="1"/>
      <c r="I15" s="1"/>
      <c r="J15" s="1"/>
      <c r="K15" s="1"/>
      <c r="L15" s="1"/>
      <c r="M15" s="1"/>
      <c r="N15" s="1">
        <v>0</v>
      </c>
      <c r="O15" s="1">
        <f t="shared" ref="O15" si="71">0.25*(N29+O28+P29+O30)</f>
        <v>8.6258538971987569E-2</v>
      </c>
      <c r="P15" s="1">
        <f t="shared" ref="P15" si="72">0.25*(O29+P28+Q29+P30)</f>
        <v>0.12927465680639244</v>
      </c>
      <c r="Q15" s="1">
        <f t="shared" ref="Q15" si="73">0.25*(P29+Q28+R29+Q30)</f>
        <v>0.15435008367972017</v>
      </c>
      <c r="R15" s="1">
        <f t="shared" ref="R15" si="74">0.25*(Q29+R28+S29+R30)</f>
        <v>0.17073961927393844</v>
      </c>
      <c r="S15" s="1">
        <f t="shared" ref="S15" si="75">0.25*(R29+S28+T29+S30)</f>
        <v>0.18250572940086912</v>
      </c>
      <c r="T15" s="1">
        <f t="shared" ref="T15" si="76">0.25*(S29+T28+U29+T30)</f>
        <v>0.19179926244859102</v>
      </c>
      <c r="U15" s="1">
        <f>U16+B13*B3</f>
        <v>0.2</v>
      </c>
      <c r="V15" s="4">
        <v>0.04</v>
      </c>
      <c r="X15" s="1" t="s">
        <v>18</v>
      </c>
      <c r="Y15" s="1">
        <v>1</v>
      </c>
      <c r="Z15" s="1">
        <v>2</v>
      </c>
      <c r="AA15" s="1">
        <v>3</v>
      </c>
      <c r="AB15" s="1">
        <v>4</v>
      </c>
      <c r="AC15" s="1">
        <v>5</v>
      </c>
      <c r="AD15" s="1">
        <v>6</v>
      </c>
      <c r="AE15" s="1">
        <v>7</v>
      </c>
      <c r="AF15" s="1">
        <v>8</v>
      </c>
      <c r="AG15" s="1">
        <v>9</v>
      </c>
      <c r="AH15" s="1">
        <v>10</v>
      </c>
      <c r="AI15" s="1">
        <v>11</v>
      </c>
      <c r="AJ15" s="1">
        <v>12</v>
      </c>
      <c r="AK15" s="1">
        <v>13</v>
      </c>
      <c r="AL15" s="1">
        <v>14</v>
      </c>
      <c r="AM15" s="1">
        <v>15</v>
      </c>
    </row>
    <row r="16" spans="1:39" ht="19.2" thickTop="1" thickBot="1">
      <c r="F16" s="4">
        <v>0</v>
      </c>
      <c r="G16" s="1"/>
      <c r="H16" s="1"/>
      <c r="I16" s="1"/>
      <c r="J16" s="1"/>
      <c r="K16" s="1"/>
      <c r="L16" s="1"/>
      <c r="M16" s="1"/>
      <c r="N16" s="1"/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4">
        <v>0</v>
      </c>
      <c r="X16" s="1" t="s">
        <v>19</v>
      </c>
      <c r="Y16" s="1">
        <v>0.4</v>
      </c>
      <c r="Z16" s="1">
        <v>0.4</v>
      </c>
      <c r="AA16" s="1">
        <v>0.4</v>
      </c>
      <c r="AB16" s="1">
        <v>0.4</v>
      </c>
      <c r="AC16" s="1">
        <v>0.4</v>
      </c>
      <c r="AD16" s="1">
        <v>0.4</v>
      </c>
      <c r="AE16" s="1">
        <v>0.4</v>
      </c>
      <c r="AF16" s="1">
        <v>0.4</v>
      </c>
      <c r="AG16" s="1">
        <v>0.4</v>
      </c>
      <c r="AH16" s="1">
        <v>0.4</v>
      </c>
      <c r="AI16" s="1">
        <v>0.4</v>
      </c>
      <c r="AJ16" s="1">
        <v>0.4</v>
      </c>
      <c r="AK16" s="1">
        <v>0.4</v>
      </c>
      <c r="AL16" s="1">
        <v>0.4</v>
      </c>
      <c r="AM16" s="1">
        <v>0.4</v>
      </c>
    </row>
    <row r="17" spans="1:39" ht="19.2" thickTop="1" thickBot="1">
      <c r="A17" s="3" t="s">
        <v>25</v>
      </c>
      <c r="B17" s="1">
        <v>101325</v>
      </c>
      <c r="F17" s="1"/>
      <c r="G17" s="4">
        <v>1</v>
      </c>
      <c r="H17" s="4">
        <v>2</v>
      </c>
      <c r="I17" s="4">
        <v>3</v>
      </c>
      <c r="J17" s="4">
        <v>4</v>
      </c>
      <c r="K17" s="4">
        <v>5</v>
      </c>
      <c r="L17" s="4">
        <v>6</v>
      </c>
      <c r="M17" s="4">
        <v>7</v>
      </c>
      <c r="N17" s="4">
        <v>8</v>
      </c>
      <c r="O17" s="4">
        <v>9</v>
      </c>
      <c r="P17" s="4">
        <v>10</v>
      </c>
      <c r="Q17" s="4">
        <v>11</v>
      </c>
      <c r="R17" s="4">
        <v>12</v>
      </c>
      <c r="S17" s="4">
        <v>13</v>
      </c>
      <c r="T17" s="4">
        <v>14</v>
      </c>
      <c r="U17" s="4">
        <v>15</v>
      </c>
      <c r="V17" s="1"/>
      <c r="X17" s="1" t="s">
        <v>11</v>
      </c>
      <c r="Y17" s="1">
        <f>G34</f>
        <v>10</v>
      </c>
      <c r="Z17" s="1">
        <f t="shared" ref="Z17:AM17" si="77">H34</f>
        <v>9.7570402696559704</v>
      </c>
      <c r="AA17" s="1">
        <f t="shared" si="77"/>
        <v>9.456937636998747</v>
      </c>
      <c r="AB17" s="1">
        <f t="shared" si="77"/>
        <v>9.0532518897606273</v>
      </c>
      <c r="AC17" s="1">
        <f t="shared" si="77"/>
        <v>8.5367990346772338</v>
      </c>
      <c r="AD17" s="1">
        <f t="shared" si="77"/>
        <v>7.9679027134142428</v>
      </c>
      <c r="AE17" s="1">
        <f t="shared" si="77"/>
        <v>7.4110628703435211</v>
      </c>
      <c r="AF17" s="1">
        <f t="shared" si="77"/>
        <v>6.9068594854216121</v>
      </c>
      <c r="AG17" s="1">
        <f t="shared" si="77"/>
        <v>6.47228244255672</v>
      </c>
      <c r="AH17" s="1">
        <f t="shared" si="77"/>
        <v>6.1086605902411879</v>
      </c>
      <c r="AI17" s="1">
        <f t="shared" si="77"/>
        <v>5.8086704715627597</v>
      </c>
      <c r="AJ17" s="1">
        <f t="shared" si="77"/>
        <v>5.5608808046943512</v>
      </c>
      <c r="AK17" s="1">
        <f t="shared" si="77"/>
        <v>5.3523155721010349</v>
      </c>
      <c r="AL17" s="1">
        <f t="shared" si="77"/>
        <v>5.1697148760069584</v>
      </c>
      <c r="AM17" s="1">
        <f t="shared" si="77"/>
        <v>5</v>
      </c>
    </row>
    <row r="18" spans="1:39" ht="18.600000000000001" thickTop="1">
      <c r="A18" s="1" t="s">
        <v>21</v>
      </c>
      <c r="B18" s="2">
        <v>500</v>
      </c>
      <c r="X18" s="1" t="s">
        <v>14</v>
      </c>
      <c r="Y18" s="1">
        <f>G48</f>
        <v>0</v>
      </c>
      <c r="Z18" s="1">
        <f t="shared" ref="Z18:AM18" si="78">H48</f>
        <v>0</v>
      </c>
      <c r="AA18" s="1">
        <f t="shared" si="78"/>
        <v>0</v>
      </c>
      <c r="AB18" s="1">
        <f t="shared" si="78"/>
        <v>0</v>
      </c>
      <c r="AC18" s="1">
        <f t="shared" si="78"/>
        <v>0</v>
      </c>
      <c r="AD18" s="1">
        <f t="shared" si="78"/>
        <v>0</v>
      </c>
      <c r="AE18" s="1">
        <f t="shared" si="78"/>
        <v>0</v>
      </c>
      <c r="AF18" s="1">
        <f t="shared" si="78"/>
        <v>0</v>
      </c>
      <c r="AG18" s="1">
        <f t="shared" si="78"/>
        <v>0</v>
      </c>
      <c r="AH18" s="1">
        <f t="shared" si="78"/>
        <v>0</v>
      </c>
      <c r="AI18" s="1">
        <f t="shared" si="78"/>
        <v>0</v>
      </c>
      <c r="AJ18" s="1">
        <f t="shared" si="78"/>
        <v>0</v>
      </c>
      <c r="AK18" s="1">
        <f t="shared" si="78"/>
        <v>0</v>
      </c>
      <c r="AL18" s="1">
        <f t="shared" si="78"/>
        <v>-5.5511151231257827E-15</v>
      </c>
      <c r="AM18" s="1">
        <f t="shared" si="78"/>
        <v>0</v>
      </c>
    </row>
    <row r="19" spans="1:39">
      <c r="G19" s="2">
        <v>1</v>
      </c>
      <c r="H19" s="2">
        <v>2</v>
      </c>
      <c r="I19" s="2">
        <v>3</v>
      </c>
      <c r="J19" s="2">
        <v>4</v>
      </c>
      <c r="K19" s="2">
        <v>5</v>
      </c>
      <c r="L19" s="2">
        <v>6</v>
      </c>
      <c r="M19" s="2">
        <v>7</v>
      </c>
      <c r="N19" s="2">
        <v>8</v>
      </c>
      <c r="O19" s="2">
        <v>9</v>
      </c>
      <c r="P19" s="2">
        <v>10</v>
      </c>
      <c r="Q19" s="2">
        <v>11</v>
      </c>
      <c r="R19" s="2">
        <v>12</v>
      </c>
      <c r="S19" s="2">
        <v>13</v>
      </c>
      <c r="T19" s="2">
        <v>14</v>
      </c>
      <c r="U19" s="2">
        <v>15</v>
      </c>
      <c r="X19" s="1" t="s">
        <v>15</v>
      </c>
      <c r="Y19" s="1">
        <f>G62</f>
        <v>10</v>
      </c>
      <c r="Z19" s="1">
        <f t="shared" ref="Z19:AM19" si="79">H62</f>
        <v>9.7570402696559704</v>
      </c>
      <c r="AA19" s="1">
        <f t="shared" si="79"/>
        <v>9.456937636998747</v>
      </c>
      <c r="AB19" s="1">
        <f t="shared" si="79"/>
        <v>9.0532518897606273</v>
      </c>
      <c r="AC19" s="1">
        <f t="shared" si="79"/>
        <v>8.5367990346772338</v>
      </c>
      <c r="AD19" s="1">
        <f t="shared" si="79"/>
        <v>7.9679027134142428</v>
      </c>
      <c r="AE19" s="1">
        <f t="shared" si="79"/>
        <v>7.4110628703435211</v>
      </c>
      <c r="AF19" s="1">
        <f t="shared" si="79"/>
        <v>6.9068594854216121</v>
      </c>
      <c r="AG19" s="1">
        <f t="shared" si="79"/>
        <v>6.47228244255672</v>
      </c>
      <c r="AH19" s="1">
        <f t="shared" si="79"/>
        <v>6.1086605902411879</v>
      </c>
      <c r="AI19" s="1">
        <f t="shared" si="79"/>
        <v>5.8086704715627597</v>
      </c>
      <c r="AJ19" s="1">
        <f t="shared" si="79"/>
        <v>5.5608808046943512</v>
      </c>
      <c r="AK19" s="1">
        <f t="shared" si="79"/>
        <v>5.3523155721010349</v>
      </c>
      <c r="AL19" s="1">
        <f t="shared" si="79"/>
        <v>5.1697148760069584</v>
      </c>
      <c r="AM19" s="1">
        <f t="shared" si="79"/>
        <v>5</v>
      </c>
    </row>
    <row r="20" spans="1:39">
      <c r="F20" s="2">
        <v>0.4</v>
      </c>
      <c r="G20" s="2">
        <v>2</v>
      </c>
      <c r="H20" s="2">
        <v>2</v>
      </c>
      <c r="I20" s="2">
        <v>2</v>
      </c>
      <c r="J20" s="2">
        <v>2</v>
      </c>
      <c r="K20" s="2">
        <v>2</v>
      </c>
      <c r="L20" s="2">
        <v>2</v>
      </c>
      <c r="M20" s="2">
        <v>2</v>
      </c>
      <c r="N20" s="2">
        <v>2</v>
      </c>
      <c r="O20" s="2">
        <v>2</v>
      </c>
      <c r="P20" s="2">
        <v>2</v>
      </c>
      <c r="Q20" s="2">
        <v>2</v>
      </c>
      <c r="R20" s="2">
        <v>2</v>
      </c>
      <c r="S20" s="2">
        <v>2</v>
      </c>
      <c r="T20" s="2">
        <v>2</v>
      </c>
      <c r="U20" s="2">
        <v>1.9999999999999998</v>
      </c>
      <c r="V20" s="2">
        <v>0.4</v>
      </c>
      <c r="X20" s="1" t="s">
        <v>20</v>
      </c>
      <c r="Y20" s="1">
        <f>B17-B18*Y19^2/2</f>
        <v>76325</v>
      </c>
      <c r="Z20" s="1">
        <f>B17-B18*Z19^2/2</f>
        <v>77525.041294077935</v>
      </c>
      <c r="AA20" s="1">
        <f>B17-B18*AA19^2/2</f>
        <v>78966.582632479141</v>
      </c>
      <c r="AB20" s="1">
        <f>B17-B18*AB19^2/2</f>
        <v>80834.657555136408</v>
      </c>
      <c r="AC20" s="1">
        <f>B17-B18*AC19^2/2</f>
        <v>83105.765560383457</v>
      </c>
      <c r="AD20" s="1">
        <f>B17-B18*AD19^2/2</f>
        <v>85453.131587391486</v>
      </c>
      <c r="AE20" s="1">
        <f>B17-B18*AE19^2/2</f>
        <v>87594.036782953917</v>
      </c>
      <c r="AF20" s="1">
        <f>B17-B18*AF19^2/2</f>
        <v>89398.82301216037</v>
      </c>
      <c r="AG20" s="1">
        <f>B17-B18*AG19^2/2</f>
        <v>90852.389995942998</v>
      </c>
      <c r="AH20" s="1">
        <f>B17-B18*AH19^2/2</f>
        <v>91996.066448308542</v>
      </c>
      <c r="AI20" s="1">
        <f>B17-B18*AI19^2/2</f>
        <v>92889.836838198709</v>
      </c>
      <c r="AJ20" s="1">
        <f>B17-B18*AJ19^2/2</f>
        <v>93594.151168995479</v>
      </c>
      <c r="AK20" s="1">
        <f>B17-B18*AK19^2/2</f>
        <v>94163.179504161191</v>
      </c>
      <c r="AL20" s="1">
        <f>B17-B18*AL19^2/2</f>
        <v>94643.512025198084</v>
      </c>
      <c r="AM20" s="1">
        <f>B17-B18*AM19^2/2</f>
        <v>95075</v>
      </c>
    </row>
    <row r="21" spans="1:39">
      <c r="F21" s="2">
        <v>0.36</v>
      </c>
      <c r="G21" s="2">
        <v>1.6</v>
      </c>
      <c r="H21" s="2">
        <v>1.6097183820885463</v>
      </c>
      <c r="I21" s="2">
        <v>1.6217224799222776</v>
      </c>
      <c r="J21" s="2">
        <v>1.6378698997214445</v>
      </c>
      <c r="K21" s="2">
        <v>1.6585280039080501</v>
      </c>
      <c r="L21" s="2">
        <v>1.6812838433382544</v>
      </c>
      <c r="M21" s="2">
        <v>1.7035574275650278</v>
      </c>
      <c r="N21" s="2">
        <v>1.723725551597024</v>
      </c>
      <c r="O21" s="2">
        <v>1.7411086305342285</v>
      </c>
      <c r="P21" s="2">
        <v>1.7556535017745514</v>
      </c>
      <c r="Q21" s="2">
        <v>1.767653114430553</v>
      </c>
      <c r="R21" s="2">
        <v>1.7775647098938396</v>
      </c>
      <c r="S21" s="2">
        <v>1.785907336848289</v>
      </c>
      <c r="T21" s="2">
        <v>1.7932113831181924</v>
      </c>
      <c r="U21" s="2">
        <v>1.7999999999999998</v>
      </c>
      <c r="V21" s="2">
        <v>0.36</v>
      </c>
      <c r="X21" s="1" t="s">
        <v>24</v>
      </c>
      <c r="Y21" s="1">
        <v>0</v>
      </c>
      <c r="Z21" s="1">
        <f>-(Y20-Z20)/(B18*Y19^2/2)</f>
        <v>4.8001651763117409E-2</v>
      </c>
      <c r="AA21" s="1">
        <f>-(Y20-AA20)/(B18*(Y19^2)/2)</f>
        <v>0.10566330529916566</v>
      </c>
      <c r="AB21" s="1">
        <f>-(Y20-AB20)/(B18*Y19^2/2)</f>
        <v>0.18038630220545632</v>
      </c>
      <c r="AC21" s="1">
        <f>-(Y20-AC20)/(B18*Y19^2/2)</f>
        <v>0.2712306224153383</v>
      </c>
      <c r="AD21" s="1">
        <f>-(Y20-AD20)/(B18*Y19^2/2)</f>
        <v>0.36512526349565944</v>
      </c>
      <c r="AE21" s="1">
        <f>-(Y20-AE20)/(B18*Y19^2/2)</f>
        <v>0.45076147131815669</v>
      </c>
      <c r="AF21" s="1">
        <f>-(Y20-AF20)/(B18*Y19^2/2)</f>
        <v>0.52295292048641484</v>
      </c>
      <c r="AG21" s="1">
        <f>-(Y20-AG20)/(B18*Y19^2/2)</f>
        <v>0.58109559983771997</v>
      </c>
      <c r="AH21" s="1">
        <f>-(Y20-AH20)/(B18*Y19^2/2)</f>
        <v>0.62684265793234173</v>
      </c>
      <c r="AI21" s="1">
        <f>-(Y20-AI20)/(B18*Y19^2/2)</f>
        <v>0.6625934735279484</v>
      </c>
      <c r="AJ21" s="1">
        <f>-(Y20-AJ20)/(B18*Y19^2/2)</f>
        <v>0.69076604675981912</v>
      </c>
      <c r="AK21" s="1">
        <f>-(Y20-AK20)/(B18*Y19^2/2)</f>
        <v>0.71352718016644767</v>
      </c>
      <c r="AL21" s="1">
        <f>-(Y20-AL20)/(B18*Y19^2/2)</f>
        <v>0.73274048100792333</v>
      </c>
      <c r="AM21" s="1">
        <f>-(Y20-AM20)/(B18*Y19^2/2)</f>
        <v>0.75</v>
      </c>
    </row>
    <row r="22" spans="1:39">
      <c r="F22" s="2">
        <v>0.32</v>
      </c>
      <c r="G22" s="2">
        <v>1.2000000000000002</v>
      </c>
      <c r="H22" s="2">
        <v>1.2171510769327671</v>
      </c>
      <c r="I22" s="2">
        <v>1.2393016962702097</v>
      </c>
      <c r="J22" s="2">
        <v>1.2712292138079724</v>
      </c>
      <c r="K22" s="2">
        <v>1.3149584113919437</v>
      </c>
      <c r="L22" s="2">
        <v>1.3630501343806429</v>
      </c>
      <c r="M22" s="2">
        <v>1.4092205458097573</v>
      </c>
      <c r="N22" s="2">
        <v>1.4502364242332848</v>
      </c>
      <c r="O22" s="2">
        <v>1.4850557558193489</v>
      </c>
      <c r="P22" s="2">
        <v>1.5138525605966286</v>
      </c>
      <c r="Q22" s="2">
        <v>1.5373945128815674</v>
      </c>
      <c r="R22" s="2">
        <v>1.5566986199700619</v>
      </c>
      <c r="S22" s="2">
        <v>1.5728534154518021</v>
      </c>
      <c r="T22" s="2">
        <v>1.586938282990598</v>
      </c>
      <c r="U22" s="2">
        <v>1.5999999999999999</v>
      </c>
      <c r="V22" s="2">
        <v>0.32</v>
      </c>
    </row>
    <row r="23" spans="1:39">
      <c r="F23" s="2">
        <v>0.28000000000000003</v>
      </c>
      <c r="G23" s="2">
        <v>0.8</v>
      </c>
      <c r="H23" s="2">
        <v>0.8195842755324062</v>
      </c>
      <c r="I23" s="2">
        <v>0.84710411714582845</v>
      </c>
      <c r="J23" s="2">
        <v>0.8927870128967812</v>
      </c>
      <c r="K23" s="2">
        <v>0.96702654897749118</v>
      </c>
      <c r="L23" s="2">
        <v>1.0467380738386429</v>
      </c>
      <c r="M23" s="2">
        <v>1.1200386364117743</v>
      </c>
      <c r="N23" s="2">
        <v>1.1829443384295546</v>
      </c>
      <c r="O23" s="2">
        <v>1.2350259641076993</v>
      </c>
      <c r="P23" s="2">
        <v>1.2773070128975568</v>
      </c>
      <c r="Q23" s="2">
        <v>1.3113742773304562</v>
      </c>
      <c r="R23" s="2">
        <v>1.3389822636148925</v>
      </c>
      <c r="S23" s="2">
        <v>1.3618697373578688</v>
      </c>
      <c r="T23" s="2">
        <v>1.3816884928114608</v>
      </c>
      <c r="U23" s="2">
        <v>1.4</v>
      </c>
      <c r="V23" s="2">
        <v>0.28000000000000003</v>
      </c>
    </row>
    <row r="24" spans="1:39">
      <c r="F24" s="2">
        <v>0.24</v>
      </c>
      <c r="G24" s="2">
        <v>0.4</v>
      </c>
      <c r="H24" s="2">
        <v>0.41408195863007613</v>
      </c>
      <c r="I24" s="2">
        <v>0.43674359112673611</v>
      </c>
      <c r="J24" s="2">
        <v>0.485788364735251</v>
      </c>
      <c r="K24" s="2">
        <v>0.6136229943460374</v>
      </c>
      <c r="L24" s="2">
        <v>0.73683741498004163</v>
      </c>
      <c r="M24" s="2">
        <v>0.84125213720250513</v>
      </c>
      <c r="N24" s="2">
        <v>0.92647700600829597</v>
      </c>
      <c r="O24" s="2">
        <v>0.99479746683857473</v>
      </c>
      <c r="P24" s="2">
        <v>1.0489760048469263</v>
      </c>
      <c r="Q24" s="2">
        <v>1.0918140006350128</v>
      </c>
      <c r="R24" s="2">
        <v>1.1259870139220522</v>
      </c>
      <c r="S24" s="2">
        <v>1.1539551919520179</v>
      </c>
      <c r="T24" s="2">
        <v>1.1779461760658112</v>
      </c>
      <c r="U24" s="2">
        <v>1.2</v>
      </c>
      <c r="V24" s="2">
        <v>0.24</v>
      </c>
    </row>
    <row r="25" spans="1:39">
      <c r="F25" s="2">
        <v>0.2</v>
      </c>
      <c r="G25" s="2">
        <v>0</v>
      </c>
      <c r="H25" s="2">
        <v>0</v>
      </c>
      <c r="I25" s="2">
        <v>0</v>
      </c>
      <c r="J25" s="2">
        <v>0</v>
      </c>
      <c r="K25" s="2">
        <v>0.26483992876639706</v>
      </c>
      <c r="L25" s="2">
        <v>0.4457368833372104</v>
      </c>
      <c r="M25" s="2">
        <v>0.58165610042726712</v>
      </c>
      <c r="N25" s="2">
        <v>0.68691480328417676</v>
      </c>
      <c r="O25" s="2">
        <v>0.76871173004967519</v>
      </c>
      <c r="P25" s="2">
        <v>0.83198637044410406</v>
      </c>
      <c r="Q25" s="2">
        <v>0.88091951728682671</v>
      </c>
      <c r="R25" s="2">
        <v>0.91919726186344319</v>
      </c>
      <c r="S25" s="2">
        <v>0.95001833798036794</v>
      </c>
      <c r="T25" s="2">
        <v>0.97614127167926046</v>
      </c>
      <c r="U25" s="2">
        <v>1</v>
      </c>
      <c r="V25" s="2">
        <v>0.2</v>
      </c>
    </row>
    <row r="26" spans="1:39">
      <c r="F26" s="2">
        <v>0.16</v>
      </c>
      <c r="K26" s="2">
        <v>0</v>
      </c>
      <c r="L26" s="2">
        <v>0.19961444959231217</v>
      </c>
      <c r="M26" s="2">
        <v>0.35272111181627236</v>
      </c>
      <c r="N26" s="2">
        <v>0.47081509553384887</v>
      </c>
      <c r="O26" s="2">
        <v>0.56114908175442335</v>
      </c>
      <c r="P26" s="2">
        <v>0.62933910048997588</v>
      </c>
      <c r="Q26" s="2">
        <v>0.68068123616273357</v>
      </c>
      <c r="R26" s="2">
        <v>0.71986488464401932</v>
      </c>
      <c r="S26" s="2">
        <v>0.75078012254304483</v>
      </c>
      <c r="T26" s="2">
        <v>0.77660084322844236</v>
      </c>
      <c r="U26" s="2">
        <v>0.8</v>
      </c>
      <c r="V26" s="2">
        <v>0.16</v>
      </c>
    </row>
    <row r="27" spans="1:39">
      <c r="F27" s="2">
        <v>0.12</v>
      </c>
      <c r="L27" s="2">
        <v>0</v>
      </c>
      <c r="M27" s="2">
        <v>0.15879921635651423</v>
      </c>
      <c r="N27" s="2">
        <v>0.28247596461923646</v>
      </c>
      <c r="O27" s="2">
        <v>0.37573113277780795</v>
      </c>
      <c r="P27" s="2">
        <v>0.44354047484783216</v>
      </c>
      <c r="Q27" s="2">
        <v>0.49260220485325423</v>
      </c>
      <c r="R27" s="2">
        <v>0.52880155080459068</v>
      </c>
      <c r="S27" s="2">
        <v>0.55663690388734266</v>
      </c>
      <c r="T27" s="2">
        <v>0.57948222289633622</v>
      </c>
      <c r="U27" s="2">
        <v>0.60000000000000009</v>
      </c>
      <c r="V27" s="2">
        <v>0.12</v>
      </c>
    </row>
    <row r="28" spans="1:39">
      <c r="F28" s="2">
        <v>0.08</v>
      </c>
      <c r="M28" s="2">
        <v>0</v>
      </c>
      <c r="N28" s="2">
        <v>0.12455883025397418</v>
      </c>
      <c r="O28" s="2">
        <v>0.21575955180304018</v>
      </c>
      <c r="P28" s="2">
        <v>0.27649009420238424</v>
      </c>
      <c r="Q28" s="2">
        <v>0.31738616116365193</v>
      </c>
      <c r="R28" s="2">
        <v>0.34610275362509224</v>
      </c>
      <c r="S28" s="2">
        <v>0.36748410541109833</v>
      </c>
      <c r="T28" s="2">
        <v>0.38469135617888711</v>
      </c>
      <c r="U28" s="2">
        <v>0.4</v>
      </c>
      <c r="V28" s="2">
        <v>0.08</v>
      </c>
    </row>
    <row r="29" spans="1:39">
      <c r="F29" s="2">
        <v>0.04</v>
      </c>
      <c r="N29" s="2">
        <v>0</v>
      </c>
      <c r="O29" s="2">
        <v>8.6258503168001016E-2</v>
      </c>
      <c r="P29" s="2">
        <v>0.12927460408491012</v>
      </c>
      <c r="Q29" s="2">
        <v>0.15435002985518453</v>
      </c>
      <c r="R29" s="2">
        <v>0.17073956947031865</v>
      </c>
      <c r="S29" s="2">
        <v>0.18250569361547692</v>
      </c>
      <c r="T29" s="2">
        <v>0.19179924272205956</v>
      </c>
      <c r="U29" s="2">
        <v>0.2</v>
      </c>
      <c r="V29" s="2">
        <v>0.04</v>
      </c>
    </row>
    <row r="30" spans="1:39">
      <c r="F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</row>
    <row r="31" spans="1:39">
      <c r="G31" s="2">
        <v>1</v>
      </c>
      <c r="H31" s="2">
        <v>2</v>
      </c>
      <c r="I31" s="2">
        <v>3</v>
      </c>
      <c r="J31" s="2">
        <v>4</v>
      </c>
      <c r="K31" s="2">
        <v>5</v>
      </c>
      <c r="L31" s="2">
        <v>6</v>
      </c>
      <c r="M31" s="2">
        <v>7</v>
      </c>
      <c r="N31" s="2">
        <v>8</v>
      </c>
      <c r="O31" s="2">
        <v>9</v>
      </c>
      <c r="P31" s="2">
        <v>10</v>
      </c>
      <c r="Q31" s="2">
        <v>11</v>
      </c>
      <c r="R31" s="2">
        <v>12</v>
      </c>
      <c r="S31" s="2">
        <v>13</v>
      </c>
      <c r="T31" s="2">
        <v>14</v>
      </c>
      <c r="U31" s="2">
        <v>15</v>
      </c>
    </row>
    <row r="32" spans="1:39" ht="18.600000000000001" thickBot="1"/>
    <row r="33" spans="5:22" ht="19.2" thickTop="1" thickBot="1">
      <c r="E33" s="1" t="s">
        <v>11</v>
      </c>
      <c r="F33" s="1"/>
      <c r="G33" s="4">
        <v>1</v>
      </c>
      <c r="H33" s="4">
        <v>2</v>
      </c>
      <c r="I33" s="4">
        <v>3</v>
      </c>
      <c r="J33" s="4">
        <v>4</v>
      </c>
      <c r="K33" s="4">
        <v>5</v>
      </c>
      <c r="L33" s="4">
        <v>6</v>
      </c>
      <c r="M33" s="4">
        <v>7</v>
      </c>
      <c r="N33" s="4">
        <v>8</v>
      </c>
      <c r="O33" s="4">
        <v>9</v>
      </c>
      <c r="P33" s="4">
        <v>10</v>
      </c>
      <c r="Q33" s="4">
        <v>11</v>
      </c>
      <c r="R33" s="4">
        <v>12</v>
      </c>
      <c r="S33" s="4">
        <v>13</v>
      </c>
      <c r="T33" s="4">
        <v>14</v>
      </c>
      <c r="U33" s="4">
        <v>15</v>
      </c>
      <c r="V33" s="1"/>
    </row>
    <row r="34" spans="5:22" ht="19.2" thickTop="1" thickBot="1">
      <c r="F34" s="4">
        <v>0.4</v>
      </c>
      <c r="G34" s="1">
        <v>10</v>
      </c>
      <c r="H34" s="1">
        <f>(H6-H7)/B3</f>
        <v>9.7570402696559704</v>
      </c>
      <c r="I34" s="1">
        <f>(I6-I7)/B3</f>
        <v>9.456937636998747</v>
      </c>
      <c r="J34" s="1">
        <f>(J6-J7)/B3</f>
        <v>9.0532518897606273</v>
      </c>
      <c r="K34" s="1">
        <f>(K6-K7)/0.04</f>
        <v>8.5367990346772338</v>
      </c>
      <c r="L34" s="1">
        <f t="shared" ref="L34:T34" si="80">(L6-L7)/0.04</f>
        <v>7.9679027134142428</v>
      </c>
      <c r="M34" s="1">
        <f t="shared" si="80"/>
        <v>7.4110628703435211</v>
      </c>
      <c r="N34" s="1">
        <f t="shared" si="80"/>
        <v>6.9068594854216121</v>
      </c>
      <c r="O34" s="1">
        <f t="shared" si="80"/>
        <v>6.47228244255672</v>
      </c>
      <c r="P34" s="1">
        <f t="shared" si="80"/>
        <v>6.1086605902411879</v>
      </c>
      <c r="Q34" s="1">
        <f t="shared" si="80"/>
        <v>5.8086704715627597</v>
      </c>
      <c r="R34" s="1">
        <f t="shared" si="80"/>
        <v>5.5608808046943512</v>
      </c>
      <c r="S34" s="1">
        <f t="shared" si="80"/>
        <v>5.3523155721010349</v>
      </c>
      <c r="T34" s="1">
        <f t="shared" si="80"/>
        <v>5.1697148760069584</v>
      </c>
      <c r="U34" s="1">
        <v>5</v>
      </c>
      <c r="V34" s="4">
        <v>0.4</v>
      </c>
    </row>
    <row r="35" spans="5:22" ht="19.2" thickTop="1" thickBot="1">
      <c r="F35" s="4">
        <v>0.36</v>
      </c>
      <c r="G35" s="1">
        <v>10</v>
      </c>
      <c r="H35" s="1">
        <f>(H6-H8)/(2*B3)</f>
        <v>9.7856113940901164</v>
      </c>
      <c r="I35" s="1">
        <f>(I6-I8)/(2*B3)</f>
        <v>9.5087284755973549</v>
      </c>
      <c r="J35" s="1">
        <f>(J6-J8)/(2*B3)</f>
        <v>9.1096343116238145</v>
      </c>
      <c r="K35" s="1">
        <f>(K6-K8)/(2*B3)</f>
        <v>8.5630190591432616</v>
      </c>
      <c r="L35" s="1">
        <f>(L6-L8)/(2*B3)</f>
        <v>7.9618722675668776</v>
      </c>
      <c r="M35" s="1">
        <f>(M6-M8)/(2*B3)</f>
        <v>7.384741804403971</v>
      </c>
      <c r="N35" s="1">
        <f>(N6-N8)/(2*B3)</f>
        <v>6.8720431510759852</v>
      </c>
      <c r="O35" s="1">
        <f>(O6-O8)/(2*B3)</f>
        <v>6.4368013141504976</v>
      </c>
      <c r="P35" s="1">
        <f>(P6-P8)/(2*B3)</f>
        <v>6.0768413019592957</v>
      </c>
      <c r="Q35" s="1">
        <f>(Q6-Q8)/(2*B3)</f>
        <v>5.7825669614759381</v>
      </c>
      <c r="R35" s="1">
        <f>(R6-R8)/(2*B3)</f>
        <v>5.5412659317434327</v>
      </c>
      <c r="S35" s="1">
        <f>(S6-S8)/(2*B3)</f>
        <v>5.3393313213536961</v>
      </c>
      <c r="T35" s="1">
        <f>(T6-T8)/(2*B3)</f>
        <v>5.1632709644329529</v>
      </c>
      <c r="U35" s="1">
        <v>5</v>
      </c>
      <c r="V35" s="4">
        <v>0.36</v>
      </c>
    </row>
    <row r="36" spans="5:22" ht="19.2" thickTop="1" thickBot="1">
      <c r="F36" s="4">
        <v>0.32</v>
      </c>
      <c r="G36" s="1">
        <v>10</v>
      </c>
      <c r="H36" s="1">
        <f>(H7-H9)/(2*B3)</f>
        <v>9.8766762629574156</v>
      </c>
      <c r="I36" s="1">
        <f>(I7-I9)/(2*B3)</f>
        <v>9.6827293820439611</v>
      </c>
      <c r="J36" s="1">
        <f>(J7-J9)/(2*B3)</f>
        <v>9.31353579053674</v>
      </c>
      <c r="K36" s="1">
        <f>(K7-K9)/(2*B3)</f>
        <v>8.6437676936819905</v>
      </c>
      <c r="L36" s="1">
        <f>(L7-L9)/(2*B3)</f>
        <v>7.9318213471992829</v>
      </c>
      <c r="M36" s="1">
        <f>(M7-M9)/(2*B3)</f>
        <v>7.2939838920768025</v>
      </c>
      <c r="N36" s="1">
        <f>(N7-N9)/(2*B3)</f>
        <v>6.7597639111608983</v>
      </c>
      <c r="O36" s="1">
        <f>(O7-O9)/(2*B3)</f>
        <v>6.3260319850184041</v>
      </c>
      <c r="P36" s="1">
        <f>(P7-P9)/(2*B3)</f>
        <v>5.979329683374063</v>
      </c>
      <c r="Q36" s="1">
        <f>(Q7-Q9)/(2*B3)</f>
        <v>5.7034841703779033</v>
      </c>
      <c r="R36" s="1">
        <f>(R7-R9)/(2*B3)</f>
        <v>5.4822794458389525</v>
      </c>
      <c r="S36" s="1">
        <f>(S7-S9)/(2*B3)</f>
        <v>5.3004692019801931</v>
      </c>
      <c r="T36" s="1">
        <f>(T7-T9)/(2*B3)</f>
        <v>5.144035698201904</v>
      </c>
      <c r="U36" s="1">
        <v>5</v>
      </c>
      <c r="V36" s="4">
        <v>0.32</v>
      </c>
    </row>
    <row r="37" spans="5:22" ht="19.2" thickTop="1" thickBot="1">
      <c r="F37" s="4">
        <v>0.28000000000000003</v>
      </c>
      <c r="G37" s="1">
        <v>10</v>
      </c>
      <c r="H37" s="1">
        <f>(H8-H10)/(2*B3)</f>
        <v>10.038364022600064</v>
      </c>
      <c r="I37" s="1">
        <f>(I8-I10)/(2*B3)</f>
        <v>10.031976397805284</v>
      </c>
      <c r="J37" s="1">
        <f>(J8-J10)/(2*B3)</f>
        <v>9.8180106934713258</v>
      </c>
      <c r="K37" s="1">
        <f>(K8-K10)/(2*B3)</f>
        <v>8.7666926362967974</v>
      </c>
      <c r="L37" s="1">
        <f>(L8-L10)/(2*B3)</f>
        <v>7.8276587051693847</v>
      </c>
      <c r="M37" s="1">
        <f>(M8-M10)/(2*B3)</f>
        <v>7.0996045773854695</v>
      </c>
      <c r="N37" s="1">
        <f>(N8-N10)/(2*B3)</f>
        <v>6.5469920184402302</v>
      </c>
      <c r="O37" s="1">
        <f>(O8-O10)/(2*B3)</f>
        <v>6.1282277326851391</v>
      </c>
      <c r="P37" s="1">
        <f>(P8-P10)/(2*B3)</f>
        <v>5.8109560392430533</v>
      </c>
      <c r="Q37" s="1">
        <f>(Q8-Q10)/(2*B3)</f>
        <v>5.5697554966919967</v>
      </c>
      <c r="R37" s="1">
        <f>(R8-R10)/(2*B3)</f>
        <v>5.3838943243022959</v>
      </c>
      <c r="S37" s="1">
        <f>(S8-S10)/(2*B3)</f>
        <v>5.2362272245022403</v>
      </c>
      <c r="T37" s="1">
        <f>(T8-T10)/(2*B3)</f>
        <v>5.1124010466834875</v>
      </c>
      <c r="U37" s="1">
        <v>5</v>
      </c>
      <c r="V37" s="4">
        <v>0.28000000000000003</v>
      </c>
    </row>
    <row r="38" spans="5:22" ht="19.2" thickTop="1" thickBot="1">
      <c r="F38" s="4">
        <v>0.24</v>
      </c>
      <c r="G38" s="1">
        <v>10</v>
      </c>
      <c r="H38" s="1">
        <f>(H9-H11)/(2*B3)</f>
        <v>10.244803602214599</v>
      </c>
      <c r="I38" s="1">
        <f>(I9-I11)/(2*B3)</f>
        <v>10.588801799456665</v>
      </c>
      <c r="J38" s="1">
        <f>(J9-J11)/(2*B3)</f>
        <v>11.159838264582946</v>
      </c>
      <c r="K38" s="1">
        <f>(K9-K11)/(2*B3)</f>
        <v>8.7773331712192419</v>
      </c>
      <c r="L38" s="1">
        <f>(L9-L11)/(2*B3)</f>
        <v>7.5125151280747886</v>
      </c>
      <c r="M38" s="1">
        <f>(M9-M11)/(2*B3)</f>
        <v>6.7297817488759222</v>
      </c>
      <c r="N38" s="1">
        <f>(N9-N11)/(2*B3)</f>
        <v>6.2003690585686488</v>
      </c>
      <c r="O38" s="1">
        <f>(O9-O11)/(2*B3)</f>
        <v>5.8289276614492405</v>
      </c>
      <c r="P38" s="1">
        <f>(P9-P11)/(2*B3)</f>
        <v>5.5665076694009548</v>
      </c>
      <c r="Q38" s="1">
        <f>(Q9-Q11)/(2*B3)</f>
        <v>5.3806841278866724</v>
      </c>
      <c r="R38" s="1">
        <f>(R9-R11)/(2*B3)</f>
        <v>5.2473121710849151</v>
      </c>
      <c r="S38" s="1">
        <f>(S9-S11)/(2*B3)</f>
        <v>5.1481422368512693</v>
      </c>
      <c r="T38" s="1">
        <f>(T9-T11)/(2*B3)</f>
        <v>5.0693401223114236</v>
      </c>
      <c r="U38" s="1">
        <v>5</v>
      </c>
      <c r="V38" s="4">
        <v>0.24</v>
      </c>
    </row>
    <row r="39" spans="5:22" ht="19.2" thickTop="1" thickBot="1">
      <c r="E39" s="1"/>
      <c r="F39" s="4">
        <v>0.2</v>
      </c>
      <c r="G39" s="1">
        <v>10</v>
      </c>
      <c r="H39" s="1">
        <f>(H10-H11)/B3</f>
        <v>10.35204916661964</v>
      </c>
      <c r="I39" s="1">
        <f>(I10-I11)/B3</f>
        <v>10.918590253194722</v>
      </c>
      <c r="J39" s="1">
        <f>(J10-J11)/B3</f>
        <v>12.144709989809717</v>
      </c>
      <c r="K39" s="1">
        <f>(K10-K11)/B3</f>
        <v>8.7195773735995807</v>
      </c>
      <c r="L39" s="1">
        <f>(L10-L12)/(2*B3)</f>
        <v>6.7152877924091037</v>
      </c>
      <c r="M39" s="1">
        <f>(M10-M12)/(2*B3)</f>
        <v>6.1066384247419894</v>
      </c>
      <c r="N39" s="1">
        <f>(N10-N12)/(2*B3)</f>
        <v>5.6957743258771947</v>
      </c>
      <c r="O39" s="1">
        <f>(O10-O12)/(2*B3)</f>
        <v>5.4206051442540257</v>
      </c>
      <c r="P39" s="1">
        <f>(P10-P12)/(2*B3)</f>
        <v>5.245461523769233</v>
      </c>
      <c r="Q39" s="1">
        <f>(Q10-Q12)/(2*B3)</f>
        <v>5.1391597066005783</v>
      </c>
      <c r="R39" s="1">
        <f>(R10-R12)/(2*B3)</f>
        <v>5.0765267084111079</v>
      </c>
      <c r="S39" s="1">
        <f>(S10-S12)/(2*B3)</f>
        <v>5.0396884237060231</v>
      </c>
      <c r="T39" s="1">
        <f>(T10-T12)/(2*B3)</f>
        <v>5.0168166853878047</v>
      </c>
      <c r="U39" s="1">
        <v>5</v>
      </c>
      <c r="V39" s="4">
        <v>0.2</v>
      </c>
    </row>
    <row r="40" spans="5:22" ht="19.2" thickTop="1" thickBot="1">
      <c r="F40" s="4">
        <v>0.16</v>
      </c>
      <c r="G40" s="1"/>
      <c r="H40" s="1"/>
      <c r="I40" s="1"/>
      <c r="J40" s="1"/>
      <c r="K40" s="1">
        <f>(K11-K12)/B3</f>
        <v>6.6209992355202987</v>
      </c>
      <c r="L40" s="1">
        <f>(L11-L13)/(2*B3)</f>
        <v>5.5717121680188066</v>
      </c>
      <c r="M40" s="1">
        <f>(M11-M13)/(2*B3)</f>
        <v>5.28571206001455</v>
      </c>
      <c r="N40" s="1">
        <f>(N11-N13)/(2*B3)</f>
        <v>5.0554864284279422</v>
      </c>
      <c r="O40" s="1">
        <f>(O11-O13)/(2*B3)</f>
        <v>4.9122582790523319</v>
      </c>
      <c r="P40" s="1">
        <f>(P11-P13)/(2*B3)</f>
        <v>4.8555744385936928</v>
      </c>
      <c r="Q40" s="1">
        <f>(Q11-Q13)/(2*B3)</f>
        <v>4.8539670191452675</v>
      </c>
      <c r="R40" s="1">
        <f>(R11-R13)/(2*B3)</f>
        <v>4.8799468963236166</v>
      </c>
      <c r="S40" s="1">
        <f>(S11-S13)/(2*B3)</f>
        <v>4.917268269945926</v>
      </c>
      <c r="T40" s="1">
        <f>(T11-T13)/(2*B3)</f>
        <v>4.9582382936873417</v>
      </c>
      <c r="U40" s="1">
        <v>5</v>
      </c>
      <c r="V40" s="4">
        <v>0.16</v>
      </c>
    </row>
    <row r="41" spans="5:22" ht="19.2" thickTop="1" thickBot="1">
      <c r="F41" s="4">
        <v>0.12</v>
      </c>
      <c r="G41" s="1"/>
      <c r="I41" s="1"/>
      <c r="J41" s="1"/>
      <c r="K41" s="1"/>
      <c r="L41" s="1">
        <f>(L12-L13)/B3</f>
        <v>4.9903624697092672</v>
      </c>
      <c r="M41" s="1">
        <f>(M12-M14)/(2*B3)</f>
        <v>4.4090151934685693</v>
      </c>
      <c r="N41" s="1">
        <f>(N12-N14)/(2*B3)</f>
        <v>4.3282045157869753</v>
      </c>
      <c r="O41" s="1">
        <f>(O12-O14)/(2*B3)</f>
        <v>4.3173703076535643</v>
      </c>
      <c r="P41" s="1">
        <f>(P12-P14)/(2*B3)</f>
        <v>4.4106136603426842</v>
      </c>
      <c r="Q41" s="1">
        <f>(Q12-Q14)/(2*B3)</f>
        <v>4.5411894523067513</v>
      </c>
      <c r="R41" s="1">
        <f>(R12-R14)/(2*B3)</f>
        <v>4.6720274516379767</v>
      </c>
      <c r="S41" s="1">
        <f>(S12-S14)/(2*B3)</f>
        <v>4.7912008201042919</v>
      </c>
      <c r="T41" s="1">
        <f>(T12-T14)/(2*B3)</f>
        <v>4.8988688940285847</v>
      </c>
      <c r="U41" s="1">
        <v>5</v>
      </c>
      <c r="V41" s="4">
        <v>0.12</v>
      </c>
    </row>
    <row r="42" spans="5:22" ht="19.2" thickTop="1" thickBot="1">
      <c r="F42" s="4">
        <v>0.08</v>
      </c>
      <c r="G42" s="1"/>
      <c r="I42" s="1"/>
      <c r="J42" s="1"/>
      <c r="K42" s="1"/>
      <c r="L42" s="1"/>
      <c r="M42" s="1">
        <f>(M13-M14)/B3</f>
        <v>3.96998172772193</v>
      </c>
      <c r="N42" s="1">
        <f>(N13-N15)/(2*B3)</f>
        <v>3.5309508591317038</v>
      </c>
      <c r="O42" s="1">
        <f>(O13-O15)/(2*B3)</f>
        <v>3.6184091160518181</v>
      </c>
      <c r="P42" s="1">
        <f>(P13-P15)/(2*B3)</f>
        <v>3.9283247034307895</v>
      </c>
      <c r="Q42" s="1">
        <f>(Q13-Q15)/(2*B3)</f>
        <v>4.228153400812273</v>
      </c>
      <c r="R42" s="1">
        <f>(R13-R15)/(2*B3)</f>
        <v>4.4757758434811086</v>
      </c>
      <c r="S42" s="1">
        <f>(S13-S15)/(2*B3)</f>
        <v>4.6766408876612298</v>
      </c>
      <c r="T42" s="1">
        <f>(T13-T15)/(2*B3)</f>
        <v>4.8460376671884626</v>
      </c>
      <c r="U42" s="1">
        <v>5</v>
      </c>
      <c r="V42" s="4">
        <v>0.08</v>
      </c>
    </row>
    <row r="43" spans="5:22" ht="19.2" thickTop="1" thickBot="1">
      <c r="F43" s="4">
        <v>0.04</v>
      </c>
      <c r="G43" s="1"/>
      <c r="H43" s="1"/>
      <c r="I43" s="1"/>
      <c r="J43" s="1"/>
      <c r="K43" s="1"/>
      <c r="L43" s="1"/>
      <c r="M43" s="1"/>
      <c r="N43" s="1">
        <f>(N14-N15)/B3</f>
        <v>3.1139719776392289</v>
      </c>
      <c r="O43" s="1">
        <f>(O14-O16)/(2*B3)</f>
        <v>2.6969955012567728</v>
      </c>
      <c r="P43" s="1">
        <f>(P14-P16)/(2*B3)</f>
        <v>3.4561274746857329</v>
      </c>
      <c r="Q43" s="1">
        <f>(Q14-Q16)/(2*B3)</f>
        <v>3.9673283829247352</v>
      </c>
      <c r="R43" s="1">
        <f>(R14-R16)/(2*B3)</f>
        <v>4.3262855839051859</v>
      </c>
      <c r="S43" s="1">
        <f>(S14-S16)/(2*B3)</f>
        <v>4.5935522103337467</v>
      </c>
      <c r="T43" s="1">
        <f>(T14-T16)/(2*B3)</f>
        <v>4.8086424094671694</v>
      </c>
      <c r="U43" s="1">
        <v>5</v>
      </c>
      <c r="V43" s="4">
        <v>0.04</v>
      </c>
    </row>
    <row r="44" spans="5:22" ht="19.2" thickTop="1" thickBot="1">
      <c r="F44" s="4">
        <v>0</v>
      </c>
      <c r="G44" s="1"/>
      <c r="H44" s="1"/>
      <c r="I44" s="1"/>
      <c r="J44" s="1"/>
      <c r="K44" s="1"/>
      <c r="L44" s="1"/>
      <c r="M44" s="1"/>
      <c r="N44" s="1"/>
      <c r="O44" s="1">
        <f>(O15-O16)/(B3)</f>
        <v>2.1564634742996893</v>
      </c>
      <c r="P44" s="1">
        <f>(P15-P16)/(B3)</f>
        <v>3.2318664201598111</v>
      </c>
      <c r="Q44" s="1">
        <f>(Q15-Q16)/(B3)</f>
        <v>3.8587520919930043</v>
      </c>
      <c r="R44" s="1">
        <f>(R15-R16)/B3</f>
        <v>4.2684904818484606</v>
      </c>
      <c r="S44" s="1">
        <f>(S15-S16)/B3</f>
        <v>4.5626432350217279</v>
      </c>
      <c r="T44" s="1">
        <f>(T15-T16)/B3</f>
        <v>4.7949815612147759</v>
      </c>
      <c r="U44" s="1">
        <v>5</v>
      </c>
      <c r="V44" s="4">
        <v>0</v>
      </c>
    </row>
    <row r="45" spans="5:22" ht="19.2" thickTop="1" thickBot="1">
      <c r="F45" s="1"/>
      <c r="G45" s="4">
        <v>1</v>
      </c>
      <c r="H45" s="4">
        <v>2</v>
      </c>
      <c r="I45" s="4">
        <v>3</v>
      </c>
      <c r="J45" s="4">
        <v>4</v>
      </c>
      <c r="K45" s="4">
        <v>5</v>
      </c>
      <c r="L45" s="4">
        <v>6</v>
      </c>
      <c r="M45" s="4">
        <v>7</v>
      </c>
      <c r="N45" s="4">
        <v>8</v>
      </c>
      <c r="O45" s="4">
        <v>9</v>
      </c>
      <c r="P45" s="4">
        <v>10</v>
      </c>
      <c r="Q45" s="4">
        <v>11</v>
      </c>
      <c r="R45" s="4">
        <v>12</v>
      </c>
      <c r="S45" s="4">
        <v>13</v>
      </c>
      <c r="T45" s="4">
        <v>14</v>
      </c>
      <c r="U45" s="4">
        <v>15</v>
      </c>
      <c r="V45" s="1"/>
    </row>
    <row r="46" spans="5:22" ht="19.2" thickTop="1" thickBot="1"/>
    <row r="47" spans="5:22" ht="19.2" thickTop="1" thickBot="1">
      <c r="E47" s="1" t="s">
        <v>14</v>
      </c>
      <c r="F47" s="1"/>
      <c r="G47" s="4">
        <v>1</v>
      </c>
      <c r="H47" s="4">
        <v>2</v>
      </c>
      <c r="I47" s="4">
        <v>3</v>
      </c>
      <c r="J47" s="4">
        <v>4</v>
      </c>
      <c r="K47" s="4">
        <v>5</v>
      </c>
      <c r="L47" s="4">
        <v>6</v>
      </c>
      <c r="M47" s="4">
        <v>7</v>
      </c>
      <c r="N47" s="4">
        <v>8</v>
      </c>
      <c r="O47" s="4">
        <v>9</v>
      </c>
      <c r="P47" s="4">
        <v>10</v>
      </c>
      <c r="Q47" s="4">
        <v>11</v>
      </c>
      <c r="R47" s="4">
        <v>12</v>
      </c>
      <c r="S47" s="4">
        <v>13</v>
      </c>
      <c r="T47" s="4">
        <v>14</v>
      </c>
      <c r="U47" s="4">
        <v>15</v>
      </c>
      <c r="V47" s="1"/>
    </row>
    <row r="48" spans="5:22" ht="19.2" thickTop="1" thickBot="1">
      <c r="F48" s="4">
        <v>0.4</v>
      </c>
      <c r="G48" s="1">
        <f>(H6-G6)/B3</f>
        <v>0</v>
      </c>
      <c r="H48" s="1">
        <f>(I6-H6)/B3</f>
        <v>0</v>
      </c>
      <c r="I48" s="1">
        <f>(J6-I6)/0.04</f>
        <v>0</v>
      </c>
      <c r="J48" s="1">
        <f t="shared" ref="J48:T48" si="81">(K6-J6)/0.04</f>
        <v>0</v>
      </c>
      <c r="K48" s="1">
        <f t="shared" si="81"/>
        <v>0</v>
      </c>
      <c r="L48" s="1">
        <f t="shared" si="81"/>
        <v>0</v>
      </c>
      <c r="M48" s="1">
        <f t="shared" si="81"/>
        <v>0</v>
      </c>
      <c r="N48" s="1">
        <f t="shared" si="81"/>
        <v>0</v>
      </c>
      <c r="O48" s="1">
        <f t="shared" si="81"/>
        <v>0</v>
      </c>
      <c r="P48" s="1">
        <f t="shared" si="81"/>
        <v>0</v>
      </c>
      <c r="Q48" s="1">
        <f t="shared" si="81"/>
        <v>0</v>
      </c>
      <c r="R48" s="1">
        <f t="shared" si="81"/>
        <v>0</v>
      </c>
      <c r="S48" s="1">
        <f t="shared" si="81"/>
        <v>0</v>
      </c>
      <c r="T48" s="1">
        <f t="shared" si="81"/>
        <v>-5.5511151231257827E-15</v>
      </c>
      <c r="U48" s="1">
        <v>0</v>
      </c>
      <c r="V48" s="4">
        <v>0.4</v>
      </c>
    </row>
    <row r="49" spans="5:22" ht="19.2" thickTop="1" thickBot="1">
      <c r="F49" s="4">
        <v>0.36</v>
      </c>
      <c r="G49" s="1">
        <f>-(H7-G7)/B3</f>
        <v>-0.24295973034402785</v>
      </c>
      <c r="H49" s="1">
        <f>-(I7-G7)/(2*0.04)</f>
        <v>-0.2715311815006255</v>
      </c>
      <c r="I49" s="1">
        <f t="shared" ref="I49:T49" si="82">-(J7-H7)/(2*0.04)</f>
        <v>-0.3518941899476713</v>
      </c>
      <c r="J49" s="1">
        <f t="shared" si="82"/>
        <v>-0.46006930116075651</v>
      </c>
      <c r="K49" s="1">
        <f t="shared" si="82"/>
        <v>-0.54267458817319203</v>
      </c>
      <c r="L49" s="1">
        <f t="shared" si="82"/>
        <v>-0.56286808216685635</v>
      </c>
      <c r="M49" s="1">
        <f t="shared" si="82"/>
        <v>-0.53052161399631537</v>
      </c>
      <c r="N49" s="1">
        <f t="shared" si="82"/>
        <v>-0.4693902138934003</v>
      </c>
      <c r="O49" s="1">
        <f t="shared" si="82"/>
        <v>-0.3990994475902121</v>
      </c>
      <c r="P49" s="1">
        <f t="shared" si="82"/>
        <v>-0.33180598549698015</v>
      </c>
      <c r="Q49" s="1">
        <f t="shared" si="82"/>
        <v>-0.27388989277341846</v>
      </c>
      <c r="R49" s="1">
        <f t="shared" si="82"/>
        <v>-0.22817744973086251</v>
      </c>
      <c r="S49" s="1">
        <f t="shared" si="82"/>
        <v>-0.19558296434369626</v>
      </c>
      <c r="T49" s="1">
        <f t="shared" si="82"/>
        <v>-0.17615778605051535</v>
      </c>
      <c r="U49" s="1">
        <f>(T7-U7)/0.04</f>
        <v>-0.16971487600695445</v>
      </c>
      <c r="V49" s="4">
        <v>0.36</v>
      </c>
    </row>
    <row r="50" spans="5:22" ht="19.2" thickTop="1" thickBot="1">
      <c r="F50" s="4">
        <v>0.32</v>
      </c>
      <c r="G50" s="1">
        <f>-(H8-G8)/B3</f>
        <v>-0.42877721181976414</v>
      </c>
      <c r="H50" s="1">
        <f>-(I8-G8)/(2*0.04)</f>
        <v>-0.49127152440264221</v>
      </c>
      <c r="I50" s="1">
        <f t="shared" ref="I50:T50" si="83">-(J8-H8)/(2*0.04)</f>
        <v>-0.67597708246630028</v>
      </c>
      <c r="J50" s="1">
        <f t="shared" si="83"/>
        <v>-0.94570941645409357</v>
      </c>
      <c r="K50" s="1">
        <f t="shared" si="83"/>
        <v>-1.147762044056938</v>
      </c>
      <c r="L50" s="1">
        <f t="shared" si="83"/>
        <v>-1.1782772547392906</v>
      </c>
      <c r="M50" s="1">
        <f t="shared" si="83"/>
        <v>-1.0898291164908924</v>
      </c>
      <c r="N50" s="1">
        <f t="shared" si="83"/>
        <v>-0.94794049025347382</v>
      </c>
      <c r="O50" s="1">
        <f t="shared" si="83"/>
        <v>-0.79520184911668901</v>
      </c>
      <c r="P50" s="1">
        <f t="shared" si="83"/>
        <v>-0.65423435267455976</v>
      </c>
      <c r="Q50" s="1">
        <f t="shared" si="83"/>
        <v>-0.53557537021586277</v>
      </c>
      <c r="R50" s="1">
        <f t="shared" si="83"/>
        <v>-0.44323564012224148</v>
      </c>
      <c r="S50" s="1">
        <f t="shared" si="83"/>
        <v>-0.37799496731047988</v>
      </c>
      <c r="T50" s="1">
        <f t="shared" si="83"/>
        <v>-0.3393313213536947</v>
      </c>
      <c r="U50" s="1">
        <f t="shared" ref="U50:U57" si="84">(T8-U8)/0.04</f>
        <v>-0.32654192886590327</v>
      </c>
      <c r="V50" s="4">
        <v>0.32</v>
      </c>
    </row>
    <row r="51" spans="5:22" ht="19.2" thickTop="1" thickBot="1">
      <c r="F51" s="4">
        <v>0.28000000000000003</v>
      </c>
      <c r="G51" s="1">
        <f>-(H9-G9)/B3</f>
        <v>-0.48960720442919603</v>
      </c>
      <c r="H51" s="1">
        <f>-(I9-G9)/(2*0.04)</f>
        <v>-0.58880179945666467</v>
      </c>
      <c r="I51" s="1">
        <f t="shared" ref="I51:T51" si="85">-(J9-H9)/(2*0.04)</f>
        <v>-0.91503466236834829</v>
      </c>
      <c r="J51" s="1">
        <f t="shared" si="85"/>
        <v>-1.4990309895227274</v>
      </c>
      <c r="K51" s="1">
        <f t="shared" si="85"/>
        <v>-1.9243890315106482</v>
      </c>
      <c r="L51" s="1">
        <f t="shared" si="85"/>
        <v>-1.9126518837720443</v>
      </c>
      <c r="M51" s="1">
        <f t="shared" si="85"/>
        <v>-1.7025790500346998</v>
      </c>
      <c r="N51" s="1">
        <f t="shared" si="85"/>
        <v>-1.4373421209517983</v>
      </c>
      <c r="O51" s="1">
        <f t="shared" si="85"/>
        <v>-1.179533675377048</v>
      </c>
      <c r="P51" s="1">
        <f t="shared" si="85"/>
        <v>-0.95435380013748072</v>
      </c>
      <c r="Q51" s="1">
        <f t="shared" si="85"/>
        <v>-0.77094013030852837</v>
      </c>
      <c r="R51" s="1">
        <f t="shared" si="85"/>
        <v>-0.6311924181285733</v>
      </c>
      <c r="S51" s="1">
        <f t="shared" si="85"/>
        <v>-0.53382671198074494</v>
      </c>
      <c r="T51" s="1">
        <f t="shared" si="85"/>
        <v>-0.47662698803070946</v>
      </c>
      <c r="U51" s="1">
        <f t="shared" si="84"/>
        <v>-0.45778627241076508</v>
      </c>
      <c r="V51" s="4">
        <v>0.28000000000000003</v>
      </c>
    </row>
    <row r="52" spans="5:22" ht="19.2" thickTop="1" thickBot="1">
      <c r="F52" s="4">
        <v>0.24</v>
      </c>
      <c r="G52" s="1">
        <f>-(H10-G10)/B3</f>
        <v>-0.35204916661963903</v>
      </c>
      <c r="H52" s="1">
        <f>-(I10-G10)/(2*0.04)</f>
        <v>-0.45929512659736088</v>
      </c>
      <c r="I52" s="1">
        <f t="shared" ref="I52:T52" si="86">-(J10-H10)/(2*0.04)</f>
        <v>-0.89633041159503868</v>
      </c>
      <c r="J52" s="1">
        <f t="shared" si="86"/>
        <v>-2.2109931779625787</v>
      </c>
      <c r="K52" s="1">
        <f t="shared" si="86"/>
        <v>-3.138114032358879</v>
      </c>
      <c r="L52" s="1">
        <f t="shared" si="86"/>
        <v>-2.845365313650619</v>
      </c>
      <c r="M52" s="1">
        <f t="shared" si="86"/>
        <v>-2.3704958032200478</v>
      </c>
      <c r="N52" s="1">
        <f t="shared" si="86"/>
        <v>-1.9193173349538044</v>
      </c>
      <c r="O52" s="1">
        <f t="shared" si="86"/>
        <v>-1.5312378283138652</v>
      </c>
      <c r="P52" s="1">
        <f t="shared" si="86"/>
        <v>-1.2127065886677015</v>
      </c>
      <c r="Q52" s="1">
        <f t="shared" si="86"/>
        <v>-0.96263708515662016</v>
      </c>
      <c r="R52" s="1">
        <f t="shared" si="86"/>
        <v>-0.77676391231199793</v>
      </c>
      <c r="S52" s="1">
        <f t="shared" si="86"/>
        <v>-0.6494882449292888</v>
      </c>
      <c r="T52" s="1">
        <f t="shared" si="86"/>
        <v>-0.57555854585593647</v>
      </c>
      <c r="U52" s="1">
        <f t="shared" si="84"/>
        <v>-0.55134402223288026</v>
      </c>
      <c r="V52" s="4">
        <v>0.24</v>
      </c>
    </row>
    <row r="53" spans="5:22" ht="19.2" thickTop="1" thickBot="1">
      <c r="E53" s="1"/>
      <c r="F53" s="4">
        <v>0.2</v>
      </c>
      <c r="G53" s="1">
        <f>(H11-G11)/0.04</f>
        <v>0</v>
      </c>
      <c r="H53" s="1">
        <f>-(I11-H11)/0.04</f>
        <v>0</v>
      </c>
      <c r="I53" s="1">
        <f>-(J11-I11)/0.04</f>
        <v>0</v>
      </c>
      <c r="J53" s="1">
        <f>-(K11-J11)/0.04</f>
        <v>-6.6209992355202987</v>
      </c>
      <c r="K53" s="1">
        <f>-(L11-J11)/(2*0.04)</f>
        <v>-5.5717121680188066</v>
      </c>
      <c r="L53" s="1">
        <f t="shared" ref="L53:T53" si="87">-(M11-K11)/(2*0.04)</f>
        <v>-3.9602033061153654</v>
      </c>
      <c r="M53" s="1">
        <f t="shared" si="87"/>
        <v>-3.0147251195408398</v>
      </c>
      <c r="N53" s="1">
        <f t="shared" si="87"/>
        <v>-2.3381962083784806</v>
      </c>
      <c r="O53" s="1">
        <f t="shared" si="87"/>
        <v>-1.8133950645447414</v>
      </c>
      <c r="P53" s="1">
        <f t="shared" si="87"/>
        <v>-1.4025973337000479</v>
      </c>
      <c r="Q53" s="1">
        <f t="shared" si="87"/>
        <v>-1.090135628624568</v>
      </c>
      <c r="R53" s="1">
        <f t="shared" si="87"/>
        <v>-0.86373430916397709</v>
      </c>
      <c r="S53" s="1">
        <f t="shared" si="87"/>
        <v>-0.71179876075423698</v>
      </c>
      <c r="T53" s="1">
        <f t="shared" si="87"/>
        <v>-0.62476922488197972</v>
      </c>
      <c r="U53" s="1">
        <f t="shared" si="84"/>
        <v>-0.5964665170336142</v>
      </c>
      <c r="V53" s="4">
        <v>0.2</v>
      </c>
    </row>
    <row r="54" spans="5:22" ht="19.2" thickTop="1" thickBot="1">
      <c r="F54" s="4">
        <v>0.16</v>
      </c>
      <c r="G54" s="1"/>
      <c r="H54" s="1"/>
      <c r="I54" s="1"/>
      <c r="J54" s="1"/>
      <c r="K54" s="1">
        <f>-(L12-K12)/(0.04)</f>
        <v>-4.9903624697092672</v>
      </c>
      <c r="L54" s="1">
        <f t="shared" ref="L54:T57" si="88">-(M12-K12)/(2*0.04)</f>
        <v>-4.4090151934685693</v>
      </c>
      <c r="M54" s="1">
        <f t="shared" si="88"/>
        <v>-3.3900092697519568</v>
      </c>
      <c r="N54" s="1">
        <f t="shared" si="88"/>
        <v>-2.6053506154417678</v>
      </c>
      <c r="O54" s="1">
        <f t="shared" si="88"/>
        <v>-1.9815506304218264</v>
      </c>
      <c r="P54" s="1">
        <f t="shared" si="88"/>
        <v>-1.4941520263211494</v>
      </c>
      <c r="Q54" s="1">
        <f t="shared" si="88"/>
        <v>-1.1315719005147453</v>
      </c>
      <c r="R54" s="1">
        <f t="shared" si="88"/>
        <v>-0.87623519520655246</v>
      </c>
      <c r="S54" s="1">
        <f t="shared" si="88"/>
        <v>-0.70919826795259178</v>
      </c>
      <c r="T54" s="1">
        <f t="shared" si="88"/>
        <v>-0.61524696956196112</v>
      </c>
      <c r="U54" s="1">
        <f t="shared" si="84"/>
        <v>-0.58497739300849283</v>
      </c>
      <c r="V54" s="4">
        <v>0.16</v>
      </c>
    </row>
    <row r="55" spans="5:22" ht="19.2" thickTop="1" thickBot="1">
      <c r="F55" s="4">
        <v>0.12</v>
      </c>
      <c r="G55" s="1"/>
      <c r="I55" s="1"/>
      <c r="J55" s="1"/>
      <c r="K55" s="1"/>
      <c r="L55" s="1">
        <f>-(M13-L13)/0.04</f>
        <v>-3.96998172772193</v>
      </c>
      <c r="M55" s="1">
        <f t="shared" si="88"/>
        <v>-3.5309508591317038</v>
      </c>
      <c r="N55" s="1">
        <f t="shared" si="88"/>
        <v>-2.7116499893406982</v>
      </c>
      <c r="O55" s="1">
        <f t="shared" si="88"/>
        <v>-2.0133070543789913</v>
      </c>
      <c r="P55" s="1">
        <f t="shared" si="88"/>
        <v>-1.4608885936071125</v>
      </c>
      <c r="Q55" s="1">
        <f t="shared" si="88"/>
        <v>-1.0657631708946438</v>
      </c>
      <c r="R55" s="1">
        <f t="shared" si="88"/>
        <v>-0.80043305836331802</v>
      </c>
      <c r="S55" s="1">
        <f t="shared" si="88"/>
        <v>-0.63350736339051195</v>
      </c>
      <c r="T55" s="1">
        <f t="shared" si="88"/>
        <v>-0.5420374948279072</v>
      </c>
      <c r="U55" s="1">
        <f t="shared" si="84"/>
        <v>-0.51294310440830049</v>
      </c>
      <c r="V55" s="4">
        <v>0.12</v>
      </c>
    </row>
    <row r="56" spans="5:22" ht="19.2" thickTop="1" thickBot="1">
      <c r="F56" s="4">
        <v>0.08</v>
      </c>
      <c r="G56" s="1"/>
      <c r="I56" s="1"/>
      <c r="J56" s="1"/>
      <c r="K56" s="1"/>
      <c r="L56" s="1"/>
      <c r="M56" s="1">
        <f>-(N14-M14)/0.04</f>
        <v>-3.1139719776392289</v>
      </c>
      <c r="N56" s="1">
        <f t="shared" si="88"/>
        <v>-2.6969955012567728</v>
      </c>
      <c r="O56" s="1">
        <f t="shared" si="88"/>
        <v>-1.8991414858661182</v>
      </c>
      <c r="P56" s="1">
        <f t="shared" si="88"/>
        <v>-1.2703328816679627</v>
      </c>
      <c r="Q56" s="1">
        <f t="shared" si="88"/>
        <v>-0.87015810921945291</v>
      </c>
      <c r="R56" s="1">
        <f t="shared" si="88"/>
        <v>-0.6262238274090115</v>
      </c>
      <c r="S56" s="1">
        <f t="shared" si="88"/>
        <v>-0.48235682556198378</v>
      </c>
      <c r="T56" s="1">
        <f t="shared" si="88"/>
        <v>-0.40644778966625328</v>
      </c>
      <c r="U56" s="1">
        <f t="shared" si="84"/>
        <v>-0.38271518106566121</v>
      </c>
      <c r="V56" s="4">
        <v>0.08</v>
      </c>
    </row>
    <row r="57" spans="5:22" ht="19.2" thickTop="1" thickBot="1">
      <c r="F57" s="4">
        <v>0.04</v>
      </c>
      <c r="G57" s="1"/>
      <c r="H57" s="1"/>
      <c r="I57" s="1"/>
      <c r="J57" s="1"/>
      <c r="K57" s="1"/>
      <c r="L57" s="1"/>
      <c r="M57" s="1"/>
      <c r="N57" s="1">
        <f>-(O15-N15)/0.04</f>
        <v>-2.1564634742996893</v>
      </c>
      <c r="O57" s="1">
        <f t="shared" si="88"/>
        <v>-1.6159332100799055</v>
      </c>
      <c r="P57" s="1">
        <f t="shared" si="88"/>
        <v>-0.85114430884665748</v>
      </c>
      <c r="Q57" s="1">
        <f t="shared" si="88"/>
        <v>-0.51831203084432498</v>
      </c>
      <c r="R57" s="1">
        <f t="shared" si="88"/>
        <v>-0.3519455715143619</v>
      </c>
      <c r="S57" s="1">
        <f t="shared" si="88"/>
        <v>-0.26324553968315734</v>
      </c>
      <c r="T57" s="1">
        <f t="shared" si="88"/>
        <v>-0.21867838248913612</v>
      </c>
      <c r="U57" s="1">
        <f t="shared" si="84"/>
        <v>-0.20501843878522469</v>
      </c>
      <c r="V57" s="4">
        <v>0.04</v>
      </c>
    </row>
    <row r="58" spans="5:22" ht="19.2" thickTop="1" thickBot="1">
      <c r="F58" s="4">
        <v>0</v>
      </c>
      <c r="G58" s="1"/>
      <c r="H58" s="1"/>
      <c r="I58" s="1"/>
      <c r="J58" s="1"/>
      <c r="K58" s="1"/>
      <c r="L58" s="1"/>
      <c r="M58" s="1"/>
      <c r="N58" s="1"/>
      <c r="O58" s="1">
        <f>-(P16-O16)/0.04</f>
        <v>0</v>
      </c>
      <c r="P58" s="1">
        <f t="shared" ref="P58:U58" si="89">-(Q16-P16)/0.04</f>
        <v>0</v>
      </c>
      <c r="Q58" s="1">
        <f t="shared" si="89"/>
        <v>0</v>
      </c>
      <c r="R58" s="1">
        <f t="shared" si="89"/>
        <v>0</v>
      </c>
      <c r="S58" s="1">
        <f t="shared" si="89"/>
        <v>0</v>
      </c>
      <c r="T58" s="1">
        <f t="shared" si="89"/>
        <v>0</v>
      </c>
      <c r="U58" s="1">
        <f t="shared" si="89"/>
        <v>0</v>
      </c>
      <c r="V58" s="4">
        <v>0</v>
      </c>
    </row>
    <row r="59" spans="5:22" ht="19.2" thickTop="1" thickBot="1">
      <c r="F59" s="1"/>
      <c r="G59" s="4">
        <v>1</v>
      </c>
      <c r="H59" s="4">
        <v>2</v>
      </c>
      <c r="I59" s="4">
        <v>3</v>
      </c>
      <c r="J59" s="4">
        <v>4</v>
      </c>
      <c r="K59" s="4">
        <v>5</v>
      </c>
      <c r="L59" s="4">
        <v>6</v>
      </c>
      <c r="M59" s="4">
        <v>7</v>
      </c>
      <c r="N59" s="4">
        <v>8</v>
      </c>
      <c r="O59" s="4">
        <v>9</v>
      </c>
      <c r="P59" s="4">
        <v>10</v>
      </c>
      <c r="Q59" s="4">
        <v>11</v>
      </c>
      <c r="R59" s="4">
        <v>12</v>
      </c>
      <c r="S59" s="4">
        <v>13</v>
      </c>
      <c r="T59" s="4">
        <v>14</v>
      </c>
      <c r="U59" s="4">
        <v>15</v>
      </c>
      <c r="V59" s="1"/>
    </row>
    <row r="60" spans="5:22" ht="19.2" thickTop="1" thickBot="1"/>
    <row r="61" spans="5:22" ht="19.2" thickTop="1" thickBot="1">
      <c r="E61" s="1" t="s">
        <v>15</v>
      </c>
      <c r="F61" s="1"/>
      <c r="G61" s="4">
        <v>1</v>
      </c>
      <c r="H61" s="4">
        <v>2</v>
      </c>
      <c r="I61" s="4">
        <v>3</v>
      </c>
      <c r="J61" s="4">
        <v>4</v>
      </c>
      <c r="K61" s="4">
        <v>5</v>
      </c>
      <c r="L61" s="4">
        <v>6</v>
      </c>
      <c r="M61" s="4">
        <v>7</v>
      </c>
      <c r="N61" s="4">
        <v>8</v>
      </c>
      <c r="O61" s="4">
        <v>9</v>
      </c>
      <c r="P61" s="4">
        <v>10</v>
      </c>
      <c r="Q61" s="4">
        <v>11</v>
      </c>
      <c r="R61" s="4">
        <v>12</v>
      </c>
      <c r="S61" s="4">
        <v>13</v>
      </c>
      <c r="T61" s="4">
        <v>14</v>
      </c>
      <c r="U61" s="4">
        <v>15</v>
      </c>
      <c r="V61" s="1"/>
    </row>
    <row r="62" spans="5:22" ht="19.2" thickTop="1" thickBot="1">
      <c r="F62" s="4">
        <v>0.4</v>
      </c>
      <c r="G62" s="1">
        <f>(G34^2+G48^2)^(0.5)</f>
        <v>10</v>
      </c>
      <c r="H62" s="1">
        <f t="shared" ref="H62:U62" si="90">(H34^2+H48^2)^(0.5)</f>
        <v>9.7570402696559704</v>
      </c>
      <c r="I62" s="1">
        <f t="shared" si="90"/>
        <v>9.456937636998747</v>
      </c>
      <c r="J62" s="1">
        <f t="shared" si="90"/>
        <v>9.0532518897606273</v>
      </c>
      <c r="K62" s="1">
        <f t="shared" si="90"/>
        <v>8.5367990346772338</v>
      </c>
      <c r="L62" s="1">
        <f t="shared" si="90"/>
        <v>7.9679027134142428</v>
      </c>
      <c r="M62" s="1">
        <f t="shared" si="90"/>
        <v>7.4110628703435211</v>
      </c>
      <c r="N62" s="1">
        <f t="shared" si="90"/>
        <v>6.9068594854216121</v>
      </c>
      <c r="O62" s="1">
        <f t="shared" si="90"/>
        <v>6.47228244255672</v>
      </c>
      <c r="P62" s="1">
        <f t="shared" si="90"/>
        <v>6.1086605902411879</v>
      </c>
      <c r="Q62" s="1">
        <f t="shared" si="90"/>
        <v>5.8086704715627597</v>
      </c>
      <c r="R62" s="1">
        <f t="shared" si="90"/>
        <v>5.5608808046943512</v>
      </c>
      <c r="S62" s="1">
        <f t="shared" si="90"/>
        <v>5.3523155721010349</v>
      </c>
      <c r="T62" s="1">
        <f t="shared" si="90"/>
        <v>5.1697148760069584</v>
      </c>
      <c r="U62" s="1">
        <f t="shared" si="90"/>
        <v>5</v>
      </c>
      <c r="V62" s="4">
        <v>0.4</v>
      </c>
    </row>
    <row r="63" spans="5:22" ht="19.2" thickTop="1" thickBot="1">
      <c r="F63" s="4">
        <v>0.36</v>
      </c>
      <c r="G63" s="1">
        <f t="shared" ref="G63:U63" si="91">(G35^2+G49^2)^(0.5)</f>
        <v>10.002951036097739</v>
      </c>
      <c r="H63" s="1">
        <f t="shared" si="91"/>
        <v>9.7893778933430422</v>
      </c>
      <c r="I63" s="1">
        <f t="shared" si="91"/>
        <v>9.5152376083603354</v>
      </c>
      <c r="J63" s="1">
        <f t="shared" si="91"/>
        <v>9.1212444903853136</v>
      </c>
      <c r="K63" s="1">
        <f t="shared" si="91"/>
        <v>8.5801976152009285</v>
      </c>
      <c r="L63" s="1">
        <f t="shared" si="91"/>
        <v>7.981743574117921</v>
      </c>
      <c r="M63" s="1">
        <f t="shared" si="91"/>
        <v>7.4037736797277152</v>
      </c>
      <c r="N63" s="1">
        <f t="shared" si="91"/>
        <v>6.8880551858379624</v>
      </c>
      <c r="O63" s="1">
        <f t="shared" si="91"/>
        <v>6.4491620794422886</v>
      </c>
      <c r="P63" s="1">
        <f t="shared" si="91"/>
        <v>6.0858931490135424</v>
      </c>
      <c r="Q63" s="1">
        <f t="shared" si="91"/>
        <v>5.7890496920752454</v>
      </c>
      <c r="R63" s="1">
        <f t="shared" si="91"/>
        <v>5.5459618710252681</v>
      </c>
      <c r="S63" s="1">
        <f t="shared" si="91"/>
        <v>5.3429122821856314</v>
      </c>
      <c r="T63" s="1">
        <f t="shared" si="91"/>
        <v>5.166275120214042</v>
      </c>
      <c r="U63" s="1">
        <f t="shared" si="91"/>
        <v>5.0028794847705509</v>
      </c>
      <c r="V63" s="4">
        <v>0.36</v>
      </c>
    </row>
    <row r="64" spans="5:22" ht="19.2" thickTop="1" thickBot="1">
      <c r="F64" s="4">
        <v>0.32</v>
      </c>
      <c r="G64" s="1">
        <f t="shared" ref="G64:U64" si="92">(G36^2+G50^2)^(0.5)</f>
        <v>10.009188273650164</v>
      </c>
      <c r="H64" s="1">
        <f t="shared" si="92"/>
        <v>9.8888867782958947</v>
      </c>
      <c r="I64" s="1">
        <f t="shared" si="92"/>
        <v>9.7062965801544028</v>
      </c>
      <c r="J64" s="1">
        <f t="shared" si="92"/>
        <v>9.3614269864149851</v>
      </c>
      <c r="K64" s="1">
        <f t="shared" si="92"/>
        <v>8.719637472516748</v>
      </c>
      <c r="L64" s="1">
        <f t="shared" si="92"/>
        <v>8.0188607153960589</v>
      </c>
      <c r="M64" s="1">
        <f t="shared" si="92"/>
        <v>7.3749527809354261</v>
      </c>
      <c r="N64" s="1">
        <f t="shared" si="92"/>
        <v>6.8259064824897271</v>
      </c>
      <c r="O64" s="1">
        <f t="shared" si="92"/>
        <v>6.3758157639877338</v>
      </c>
      <c r="P64" s="1">
        <f t="shared" si="92"/>
        <v>6.0150150499144779</v>
      </c>
      <c r="Q64" s="1">
        <f t="shared" si="92"/>
        <v>5.728575098480702</v>
      </c>
      <c r="R64" s="1">
        <f t="shared" si="92"/>
        <v>5.5001677933443833</v>
      </c>
      <c r="S64" s="1">
        <f t="shared" si="92"/>
        <v>5.3139301798624148</v>
      </c>
      <c r="T64" s="1">
        <f t="shared" si="92"/>
        <v>5.1552157093595214</v>
      </c>
      <c r="U64" s="1">
        <f t="shared" si="92"/>
        <v>5.0106516174353475</v>
      </c>
      <c r="V64" s="4">
        <v>0.32</v>
      </c>
    </row>
    <row r="65" spans="5:22" ht="19.2" thickTop="1" thickBot="1">
      <c r="F65" s="4">
        <v>0.28000000000000003</v>
      </c>
      <c r="G65" s="1">
        <f t="shared" ref="G65:U65" si="93">(G37^2+G51^2)^(0.5)</f>
        <v>10.011978586404835</v>
      </c>
      <c r="H65" s="1">
        <f t="shared" si="93"/>
        <v>10.055617326115524</v>
      </c>
      <c r="I65" s="1">
        <f t="shared" si="93"/>
        <v>10.073620941819174</v>
      </c>
      <c r="J65" s="1">
        <f t="shared" si="93"/>
        <v>9.9317887555397988</v>
      </c>
      <c r="K65" s="1">
        <f t="shared" si="93"/>
        <v>8.9754204873030314</v>
      </c>
      <c r="L65" s="1">
        <f t="shared" si="93"/>
        <v>8.0579450254460543</v>
      </c>
      <c r="M65" s="1">
        <f t="shared" si="93"/>
        <v>7.3009013537267968</v>
      </c>
      <c r="N65" s="1">
        <f t="shared" si="93"/>
        <v>6.7029140574963586</v>
      </c>
      <c r="O65" s="1">
        <f t="shared" si="93"/>
        <v>6.2407110840832658</v>
      </c>
      <c r="P65" s="1">
        <f t="shared" si="93"/>
        <v>5.8888030418627659</v>
      </c>
      <c r="Q65" s="1">
        <f t="shared" si="93"/>
        <v>5.6228573676957909</v>
      </c>
      <c r="R65" s="1">
        <f t="shared" si="93"/>
        <v>5.4207676544893042</v>
      </c>
      <c r="S65" s="1">
        <f t="shared" si="93"/>
        <v>5.2633683611393387</v>
      </c>
      <c r="T65" s="1">
        <f t="shared" si="93"/>
        <v>5.1345708435904989</v>
      </c>
      <c r="U65" s="1">
        <f t="shared" si="93"/>
        <v>5.0209130913816606</v>
      </c>
      <c r="V65" s="4">
        <v>0.28000000000000003</v>
      </c>
    </row>
    <row r="66" spans="5:22" ht="19.2" thickTop="1" thickBot="1">
      <c r="F66" s="4">
        <v>0.24</v>
      </c>
      <c r="G66" s="1">
        <f t="shared" ref="G66:U66" si="94">(G38^2+G52^2)^(0.5)</f>
        <v>10.006195011877271</v>
      </c>
      <c r="H66" s="1">
        <f t="shared" si="94"/>
        <v>10.25509399573038</v>
      </c>
      <c r="I66" s="1">
        <f t="shared" si="94"/>
        <v>10.62667077475005</v>
      </c>
      <c r="J66" s="1">
        <f t="shared" si="94"/>
        <v>11.376751773887253</v>
      </c>
      <c r="K66" s="1">
        <f t="shared" si="94"/>
        <v>9.3214450209542807</v>
      </c>
      <c r="L66" s="1">
        <f t="shared" si="94"/>
        <v>8.0333048814095598</v>
      </c>
      <c r="M66" s="1">
        <f t="shared" si="94"/>
        <v>7.135069217645146</v>
      </c>
      <c r="N66" s="1">
        <f t="shared" si="94"/>
        <v>6.4906359853799875</v>
      </c>
      <c r="O66" s="1">
        <f t="shared" si="94"/>
        <v>6.0266978495082588</v>
      </c>
      <c r="P66" s="1">
        <f t="shared" si="94"/>
        <v>5.6970751183127035</v>
      </c>
      <c r="Q66" s="1">
        <f t="shared" si="94"/>
        <v>5.4661167058351756</v>
      </c>
      <c r="R66" s="1">
        <f t="shared" si="94"/>
        <v>5.3044931139823461</v>
      </c>
      <c r="S66" s="1">
        <f t="shared" si="94"/>
        <v>5.1889501318815272</v>
      </c>
      <c r="T66" s="1">
        <f t="shared" si="94"/>
        <v>5.1019091441718363</v>
      </c>
      <c r="U66" s="1">
        <f t="shared" si="94"/>
        <v>5.0303061766508739</v>
      </c>
      <c r="V66" s="4">
        <v>0.24</v>
      </c>
    </row>
    <row r="67" spans="5:22" ht="19.2" thickTop="1" thickBot="1">
      <c r="E67" s="1"/>
      <c r="F67" s="4">
        <v>0.2</v>
      </c>
      <c r="G67" s="1">
        <f t="shared" ref="G67:U69" si="95">(G39^2+G53^2)^(0.5)</f>
        <v>10</v>
      </c>
      <c r="H67" s="1">
        <f t="shared" si="95"/>
        <v>10.35204916661964</v>
      </c>
      <c r="I67" s="1">
        <f>(I39^2+I53^2)^(0.5)</f>
        <v>10.918590253194722</v>
      </c>
      <c r="J67" s="1">
        <f t="shared" si="95"/>
        <v>13.832267045330795</v>
      </c>
      <c r="K67" s="1">
        <f t="shared" si="95"/>
        <v>10.347705352272</v>
      </c>
      <c r="L67" s="1">
        <f t="shared" si="95"/>
        <v>7.7960438916572166</v>
      </c>
      <c r="M67" s="1">
        <f t="shared" si="95"/>
        <v>6.8102569993301909</v>
      </c>
      <c r="N67" s="1">
        <f t="shared" si="95"/>
        <v>6.1570290465611182</v>
      </c>
      <c r="O67" s="1">
        <f t="shared" si="95"/>
        <v>5.7158867894691925</v>
      </c>
      <c r="P67" s="1">
        <f t="shared" si="95"/>
        <v>5.4297463916693136</v>
      </c>
      <c r="Q67" s="1">
        <f t="shared" si="95"/>
        <v>5.2535091299762318</v>
      </c>
      <c r="R67" s="1">
        <f t="shared" si="95"/>
        <v>5.1494815640060594</v>
      </c>
      <c r="S67" s="1">
        <f t="shared" si="95"/>
        <v>5.0897069546141624</v>
      </c>
      <c r="T67" s="1">
        <f t="shared" si="95"/>
        <v>5.0555698233873807</v>
      </c>
      <c r="U67" s="1">
        <f t="shared" si="95"/>
        <v>5.0354515493590251</v>
      </c>
      <c r="V67" s="4">
        <v>0.2</v>
      </c>
    </row>
    <row r="68" spans="5:22" ht="19.2" thickTop="1" thickBot="1">
      <c r="F68" s="4">
        <v>0.16</v>
      </c>
      <c r="G68" s="1"/>
      <c r="H68" s="1"/>
      <c r="I68" s="1"/>
      <c r="J68" s="1"/>
      <c r="K68" s="1">
        <f t="shared" si="95"/>
        <v>8.2910402517321771</v>
      </c>
      <c r="L68" s="1">
        <f t="shared" si="95"/>
        <v>7.1051665328467504</v>
      </c>
      <c r="M68" s="1">
        <f t="shared" si="95"/>
        <v>6.2794040187256188</v>
      </c>
      <c r="N68" s="1">
        <f t="shared" si="95"/>
        <v>5.6873363587361272</v>
      </c>
      <c r="O68" s="1">
        <f t="shared" si="95"/>
        <v>5.296869292425793</v>
      </c>
      <c r="P68" s="1">
        <f t="shared" si="95"/>
        <v>5.0802650921466741</v>
      </c>
      <c r="Q68" s="1">
        <f t="shared" si="95"/>
        <v>4.9841198610170432</v>
      </c>
      <c r="R68" s="1">
        <f t="shared" si="95"/>
        <v>4.957990503042252</v>
      </c>
      <c r="S68" s="1">
        <f t="shared" si="95"/>
        <v>4.9681474839102711</v>
      </c>
      <c r="T68" s="1">
        <f t="shared" si="95"/>
        <v>4.996264185423219</v>
      </c>
      <c r="U68" s="1">
        <f t="shared" si="95"/>
        <v>5.0341035498220545</v>
      </c>
      <c r="V68" s="4">
        <v>0.16</v>
      </c>
    </row>
    <row r="69" spans="5:22" ht="19.2" thickTop="1" thickBot="1">
      <c r="F69" s="4">
        <v>0.12</v>
      </c>
      <c r="G69" s="1"/>
      <c r="I69" s="1"/>
      <c r="J69" s="1"/>
      <c r="K69" s="1"/>
      <c r="L69" s="1">
        <f t="shared" si="95"/>
        <v>6.3768701176618592</v>
      </c>
      <c r="M69" s="1">
        <f t="shared" ref="M69:O69" si="96">(M41^2+M55^2)^(0.5)</f>
        <v>5.6486307142385934</v>
      </c>
      <c r="N69" s="1">
        <f t="shared" si="96"/>
        <v>5.1074847033711395</v>
      </c>
      <c r="O69" s="1">
        <f t="shared" si="96"/>
        <v>4.7637266576306461</v>
      </c>
      <c r="P69" s="1">
        <f t="shared" ref="P69:U69" si="97">(P41^2+P55^2)^(0.5)</f>
        <v>4.6462574556015364</v>
      </c>
      <c r="Q69" s="1">
        <f t="shared" si="97"/>
        <v>4.6645742333226403</v>
      </c>
      <c r="R69" s="1">
        <f t="shared" si="97"/>
        <v>4.7400984789115617</v>
      </c>
      <c r="S69" s="1">
        <f t="shared" si="97"/>
        <v>4.8329014968275565</v>
      </c>
      <c r="T69" s="1">
        <f t="shared" si="97"/>
        <v>4.9287646613203355</v>
      </c>
      <c r="U69" s="1">
        <f t="shared" si="97"/>
        <v>5.0262421975428149</v>
      </c>
      <c r="V69" s="4">
        <v>0.12</v>
      </c>
    </row>
    <row r="70" spans="5:22" ht="19.2" thickTop="1" thickBot="1">
      <c r="F70" s="4">
        <v>0.08</v>
      </c>
      <c r="G70" s="1"/>
      <c r="I70" s="1"/>
      <c r="J70" s="1"/>
      <c r="K70" s="1"/>
      <c r="L70" s="1"/>
      <c r="M70" s="1">
        <f t="shared" ref="M70:O70" si="98">(M42^2+M56^2)^(0.5)</f>
        <v>5.0455501579082904</v>
      </c>
      <c r="N70" s="1">
        <f t="shared" si="98"/>
        <v>4.4431293817986202</v>
      </c>
      <c r="O70" s="1">
        <f t="shared" si="98"/>
        <v>4.0865172108367132</v>
      </c>
      <c r="P70" s="1">
        <f t="shared" ref="P70:U70" si="99">(P42^2+P56^2)^(0.5)</f>
        <v>4.1286172752910177</v>
      </c>
      <c r="Q70" s="1">
        <f t="shared" si="99"/>
        <v>4.3167645657182607</v>
      </c>
      <c r="R70" s="1">
        <f t="shared" si="99"/>
        <v>4.5193722664883254</v>
      </c>
      <c r="S70" s="1">
        <f t="shared" si="99"/>
        <v>4.7014506377618224</v>
      </c>
      <c r="T70" s="1">
        <f t="shared" si="99"/>
        <v>4.8630526295254075</v>
      </c>
      <c r="U70" s="1">
        <f t="shared" si="99"/>
        <v>5.0146256998721368</v>
      </c>
      <c r="V70" s="4">
        <v>0.08</v>
      </c>
    </row>
    <row r="71" spans="5:22" ht="19.2" thickTop="1" thickBot="1">
      <c r="F71" s="4">
        <v>0.04</v>
      </c>
      <c r="G71" s="1"/>
      <c r="H71" s="1"/>
      <c r="I71" s="1"/>
      <c r="J71" s="1"/>
      <c r="K71" s="1"/>
      <c r="L71" s="1"/>
      <c r="M71" s="1"/>
      <c r="N71" s="1">
        <f t="shared" ref="N71:O71" si="100">(N43^2+N57^2)^(0.5)</f>
        <v>3.7877640097438827</v>
      </c>
      <c r="O71" s="1">
        <f t="shared" si="100"/>
        <v>3.1440459400648746</v>
      </c>
      <c r="P71" s="1">
        <f t="shared" ref="P71:U71" si="101">(P43^2+P57^2)^(0.5)</f>
        <v>3.5593909248296449</v>
      </c>
      <c r="Q71" s="1">
        <f t="shared" si="101"/>
        <v>4.0010425965338285</v>
      </c>
      <c r="R71" s="1">
        <f t="shared" si="101"/>
        <v>4.3405774545346389</v>
      </c>
      <c r="S71" s="1">
        <f t="shared" si="101"/>
        <v>4.601089014920829</v>
      </c>
      <c r="T71" s="1">
        <f t="shared" si="101"/>
        <v>4.8136121631363586</v>
      </c>
      <c r="U71" s="1">
        <f t="shared" si="101"/>
        <v>5.0042014907717229</v>
      </c>
      <c r="V71" s="4">
        <v>0.04</v>
      </c>
    </row>
    <row r="72" spans="5:22" ht="19.2" thickTop="1" thickBot="1">
      <c r="F72" s="4">
        <v>0</v>
      </c>
      <c r="G72" s="1"/>
      <c r="H72" s="1"/>
      <c r="I72" s="1"/>
      <c r="J72" s="1"/>
      <c r="K72" s="1"/>
      <c r="L72" s="1"/>
      <c r="M72" s="1"/>
      <c r="N72" s="1"/>
      <c r="O72" s="1">
        <f t="shared" ref="O72:U72" si="102">(O44^2+O58^2)^(0.5)</f>
        <v>2.1564634742996893</v>
      </c>
      <c r="P72" s="1">
        <f t="shared" si="102"/>
        <v>3.2318664201598111</v>
      </c>
      <c r="Q72" s="1">
        <f t="shared" si="102"/>
        <v>3.8587520919930043</v>
      </c>
      <c r="R72" s="1">
        <f t="shared" si="102"/>
        <v>4.2684904818484606</v>
      </c>
      <c r="S72" s="1">
        <f t="shared" si="102"/>
        <v>4.5626432350217279</v>
      </c>
      <c r="T72" s="1">
        <f t="shared" si="102"/>
        <v>4.7949815612147759</v>
      </c>
      <c r="U72" s="1">
        <f t="shared" si="102"/>
        <v>5</v>
      </c>
      <c r="V72" s="4">
        <v>0</v>
      </c>
    </row>
    <row r="73" spans="5:22" ht="19.2" thickTop="1" thickBot="1">
      <c r="F73" s="1"/>
      <c r="G73" s="4">
        <v>1</v>
      </c>
      <c r="H73" s="4">
        <v>2</v>
      </c>
      <c r="I73" s="4">
        <v>3</v>
      </c>
      <c r="J73" s="4">
        <v>4</v>
      </c>
      <c r="K73" s="4">
        <v>5</v>
      </c>
      <c r="L73" s="4">
        <v>6</v>
      </c>
      <c r="M73" s="4">
        <v>7</v>
      </c>
      <c r="N73" s="4">
        <v>8</v>
      </c>
      <c r="O73" s="4">
        <v>9</v>
      </c>
      <c r="P73" s="4">
        <v>10</v>
      </c>
      <c r="Q73" s="4">
        <v>11</v>
      </c>
      <c r="R73" s="4">
        <v>12</v>
      </c>
      <c r="S73" s="4">
        <v>13</v>
      </c>
      <c r="T73" s="4">
        <v>14</v>
      </c>
      <c r="U73" s="4">
        <v>15</v>
      </c>
      <c r="V73" s="1"/>
    </row>
    <row r="74" spans="5:22" ht="18.600000000000001" thickTop="1"/>
    <row r="90" spans="1:5">
      <c r="A90" s="5"/>
      <c r="B90" s="5"/>
      <c r="C90" s="5"/>
      <c r="D90" s="5"/>
      <c r="E90" s="5"/>
    </row>
  </sheetData>
  <mergeCells count="6">
    <mergeCell ref="X2:AM2"/>
    <mergeCell ref="A12:C12"/>
    <mergeCell ref="A7:C7"/>
    <mergeCell ref="A4:C4"/>
    <mergeCell ref="A90:E90"/>
    <mergeCell ref="X12:AM12"/>
  </mergeCells>
  <conditionalFormatting sqref="H15:H16 G6:G16 H6:H12 I6:U16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4:G44 H43:H44 H34:H40 I34:U4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57:H58 H48:U48 H48:H54 H49:J52 G48:G58 I48:U5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71:H72 H62:H68 G62:G72 H62:U67 I62:U72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2021-11-09T12:12:47Z</dcterms:created>
  <dcterms:modified xsi:type="dcterms:W3CDTF">2021-11-16T01:22:19Z</dcterms:modified>
</cp:coreProperties>
</file>