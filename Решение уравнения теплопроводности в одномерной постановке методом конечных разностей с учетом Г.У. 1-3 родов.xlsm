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20" yWindow="-120" windowWidth="23256" windowHeight="13176" activeTab="1"/>
  </bookViews>
  <sheets>
    <sheet name="ГУ 1-ого рода" sheetId="2" r:id="rId1"/>
    <sheet name="ГУ 2-ого рода" sheetId="1" r:id="rId2"/>
    <sheet name="ГУ 3-ого рода" sheetId="3" r:id="rId3"/>
  </sheets>
  <calcPr calcId="125725" iterate="1"/>
</workbook>
</file>

<file path=xl/calcChain.xml><?xml version="1.0" encoding="utf-8"?>
<calcChain xmlns="http://schemas.openxmlformats.org/spreadsheetml/2006/main">
  <c r="F7" i="1"/>
  <c r="BA6" i="3" l="1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BC4"/>
  <c r="BB6" s="1"/>
  <c r="G3"/>
  <c r="H3" s="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F3"/>
  <c r="E3"/>
  <c r="B2"/>
  <c r="E4" s="1"/>
  <c r="F6" s="1"/>
  <c r="B3" l="1"/>
  <c r="F6" i="1" l="1"/>
  <c r="BC4" i="2"/>
  <c r="E4"/>
  <c r="B2"/>
  <c r="B3" s="1"/>
  <c r="BA6" l="1"/>
  <c r="AY6"/>
  <c r="AW6"/>
  <c r="AU6"/>
  <c r="AS6"/>
  <c r="AQ6"/>
  <c r="AO6"/>
  <c r="AM6"/>
  <c r="AK6"/>
  <c r="AI6"/>
  <c r="AG6"/>
  <c r="AE6"/>
  <c r="AC6"/>
  <c r="AA6"/>
  <c r="Y6"/>
  <c r="W6"/>
  <c r="U6"/>
  <c r="S6"/>
  <c r="Q6"/>
  <c r="O6"/>
  <c r="M6"/>
  <c r="K6"/>
  <c r="I6"/>
  <c r="G6"/>
  <c r="BB6"/>
  <c r="AZ6"/>
  <c r="AX6"/>
  <c r="AV6"/>
  <c r="AT6"/>
  <c r="AR6"/>
  <c r="AP6"/>
  <c r="AN6"/>
  <c r="AL6"/>
  <c r="AJ6"/>
  <c r="AH6"/>
  <c r="AF6"/>
  <c r="AD6"/>
  <c r="AB6"/>
  <c r="Z6"/>
  <c r="X6"/>
  <c r="V6"/>
  <c r="T6"/>
  <c r="R6"/>
  <c r="P6"/>
  <c r="N6"/>
  <c r="L6"/>
  <c r="J6"/>
  <c r="H6"/>
  <c r="F6"/>
  <c r="F3"/>
  <c r="G3" s="1"/>
  <c r="H3" s="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G7" i="1" l="1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G6" l="1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4"/>
  <c r="B2"/>
  <c r="F3" s="1"/>
  <c r="G3" s="1"/>
  <c r="H3" s="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E4"/>
  <c r="B3" l="1"/>
</calcChain>
</file>

<file path=xl/sharedStrings.xml><?xml version="1.0" encoding="utf-8"?>
<sst xmlns="http://schemas.openxmlformats.org/spreadsheetml/2006/main" count="43" uniqueCount="19">
  <si>
    <t>L</t>
  </si>
  <si>
    <t>dx</t>
  </si>
  <si>
    <t>dt</t>
  </si>
  <si>
    <t>t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</si>
  <si>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</si>
  <si>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</si>
  <si>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</si>
  <si>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</si>
  <si>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</si>
  <si>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</si>
  <si>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t>N</t>
  </si>
  <si>
    <t>T</t>
  </si>
  <si>
    <r>
      <t>T</t>
    </r>
    <r>
      <rPr>
        <sz val="10"/>
        <color theme="1"/>
        <rFont val="Times New Roman"/>
        <family val="1"/>
        <charset val="204"/>
      </rPr>
      <t>iter</t>
    </r>
  </si>
  <si>
    <t>q</t>
  </si>
  <si>
    <r>
      <t>T</t>
    </r>
    <r>
      <rPr>
        <vertAlign val="subscript"/>
        <sz val="14"/>
        <color theme="1"/>
        <rFont val="Times New Roman"/>
        <family val="1"/>
        <charset val="204"/>
      </rPr>
      <t>gas-start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</si>
  <si>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gas-end</t>
    </r>
  </si>
  <si>
    <r>
      <t>a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</si>
  <si>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a</t>
    </r>
    <r>
      <rPr>
        <vertAlign val="subscript"/>
        <sz val="14"/>
        <color theme="1"/>
        <rFont val="Times New Roman"/>
        <family val="1"/>
        <charset val="204"/>
      </rPr>
      <t>end</t>
    </r>
  </si>
  <si>
    <t>T_iter</t>
  </si>
</sst>
</file>

<file path=xl/styles.xml><?xml version="1.0" encoding="utf-8"?>
<styleSheet xmlns="http://schemas.openxmlformats.org/spreadsheetml/2006/main">
  <numFmts count="4">
    <numFmt numFmtId="43" formatCode="_-* #,##0.00\ _₽_-;\-* #,##0.00\ _₽_-;_-* &quot;-&quot;??\ _₽_-;_-@_-"/>
    <numFmt numFmtId="164" formatCode="0.000"/>
    <numFmt numFmtId="165" formatCode="0.0"/>
    <numFmt numFmtId="166" formatCode="_-* #,##0\ _₽_-;\-* #,##0\ _₽_-;_-* &quot;-&quot;??\ _₽_-;_-@_-"/>
  </numFmts>
  <fonts count="5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 wrapText="1"/>
    </xf>
    <xf numFmtId="164" fontId="1" fillId="0" borderId="0" xfId="0" applyNumberFormat="1" applyFont="1" applyAlignment="1">
      <alignment horizontal="center"/>
    </xf>
    <xf numFmtId="43" fontId="1" fillId="0" borderId="0" xfId="1" applyFont="1" applyAlignment="1">
      <alignment horizontal="center"/>
    </xf>
    <xf numFmtId="2" fontId="1" fillId="0" borderId="0" xfId="1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6" fontId="1" fillId="0" borderId="0" xfId="1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NumberFormat="1" applyFont="1" applyAlignment="1">
      <alignment horizontal="center" wrapText="1"/>
    </xf>
    <xf numFmtId="2" fontId="1" fillId="0" borderId="0" xfId="0" applyNumberFormat="1" applyFont="1" applyAlignment="1">
      <alignment vertical="center" wrapText="1"/>
    </xf>
    <xf numFmtId="2" fontId="1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2" fontId="1" fillId="0" borderId="0" xfId="1" applyNumberFormat="1" applyFont="1" applyAlignment="1">
      <alignment vertical="center"/>
    </xf>
    <xf numFmtId="2" fontId="0" fillId="0" borderId="0" xfId="0" applyNumberFormat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3109392319137592"/>
          <c:y val="5.2020629587797712E-2"/>
          <c:w val="0.75724680728563165"/>
          <c:h val="0.87538098854279589"/>
        </c:manualLayout>
      </c:layout>
      <c:scatterChart>
        <c:scatterStyle val="smoothMarker"/>
        <c:ser>
          <c:idx val="0"/>
          <c:order val="0"/>
          <c:xVal>
            <c:numRef>
              <c:f>'ГУ 1-ого рода'!$E$3:$BC$3</c:f>
              <c:numCache>
                <c:formatCode>0.000</c:formatCode>
                <c:ptCount val="5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</c:numCache>
            </c:numRef>
          </c:xVal>
          <c:yVal>
            <c:numRef>
              <c:f>'ГУ 1-ого рода'!$E$4:$BC$4</c:f>
              <c:numCache>
                <c:formatCode>0.000</c:formatCode>
                <c:ptCount val="51"/>
                <c:pt idx="0" formatCode="_-* #,##0.00\ _₽_-;\-* #,##0.00\ _₽_-;_-* &quot;-&quot;??\ _₽_-;_-@_-">
                  <c:v>300</c:v>
                </c:pt>
                <c:pt idx="1">
                  <c:v>294.73300489696442</c:v>
                </c:pt>
                <c:pt idx="2">
                  <c:v>289.46600979392923</c:v>
                </c:pt>
                <c:pt idx="3" formatCode="0.00">
                  <c:v>284.21901045617142</c:v>
                </c:pt>
                <c:pt idx="4" formatCode="0.00">
                  <c:v>278.97201111841463</c:v>
                </c:pt>
                <c:pt idx="5" formatCode="0.00">
                  <c:v>273.76468705521825</c:v>
                </c:pt>
                <c:pt idx="6" formatCode="0.00">
                  <c:v>268.55736299202374</c:v>
                </c:pt>
                <c:pt idx="7" formatCode="0.00">
                  <c:v>263.40876624546337</c:v>
                </c:pt>
                <c:pt idx="8" formatCode="0.00">
                  <c:v>258.2601694989055</c:v>
                </c:pt>
                <c:pt idx="9" formatCode="0.00">
                  <c:v>253.1884234390337</c:v>
                </c:pt>
                <c:pt idx="10" formatCode="0.00">
                  <c:v>248.11667737916514</c:v>
                </c:pt>
                <c:pt idx="11" formatCode="0.00">
                  <c:v>243.13869030245237</c:v>
                </c:pt>
                <c:pt idx="12" formatCode="0.00">
                  <c:v>238.16070322574362</c:v>
                </c:pt>
                <c:pt idx="13" formatCode="0.00">
                  <c:v>233.29190131026411</c:v>
                </c:pt>
                <c:pt idx="14" formatCode="0.00">
                  <c:v>228.42309939478923</c:v>
                </c:pt>
                <c:pt idx="15" formatCode="0.00">
                  <c:v>223.67718324816886</c:v>
                </c:pt>
                <c:pt idx="16" formatCode="0.00">
                  <c:v>218.9312671015536</c:v>
                </c:pt>
                <c:pt idx="17" formatCode="0.00">
                  <c:v>214.3199957518712</c:v>
                </c:pt>
                <c:pt idx="18" formatCode="0.00">
                  <c:v>209.70872440219438</c:v>
                </c:pt>
                <c:pt idx="19" formatCode="0.00">
                  <c:v>205.2417301348037</c:v>
                </c:pt>
                <c:pt idx="20" formatCode="0.00">
                  <c:v>200.77473586741894</c:v>
                </c:pt>
                <c:pt idx="21" formatCode="0.00">
                  <c:v>196.45937280999564</c:v>
                </c:pt>
                <c:pt idx="22" formatCode="0.00">
                  <c:v>192.14400975257848</c:v>
                </c:pt>
                <c:pt idx="23" formatCode="0.00">
                  <c:v>187.9852385653835</c:v>
                </c:pt>
                <c:pt idx="24" formatCode="0.00">
                  <c:v>183.82646737819479</c:v>
                </c:pt>
                <c:pt idx="25" formatCode="0.00">
                  <c:v>179.82677782600402</c:v>
                </c:pt>
                <c:pt idx="26" formatCode="0.00">
                  <c:v>175.82708827381964</c:v>
                </c:pt>
                <c:pt idx="27" formatCode="0.00">
                  <c:v>171.98646085005532</c:v>
                </c:pt>
                <c:pt idx="28" formatCode="0.00">
                  <c:v>168.14583342629737</c:v>
                </c:pt>
                <c:pt idx="29" formatCode="0.00">
                  <c:v>164.46174057869817</c:v>
                </c:pt>
                <c:pt idx="30" formatCode="0.00">
                  <c:v>160.77764773110511</c:v>
                </c:pt>
                <c:pt idx="31" formatCode="0.00">
                  <c:v>157.2450946119213</c:v>
                </c:pt>
                <c:pt idx="32" formatCode="0.00">
                  <c:v>153.71254149274336</c:v>
                </c:pt>
                <c:pt idx="33" formatCode="0.00">
                  <c:v>150.32414553493288</c:v>
                </c:pt>
                <c:pt idx="34" formatCode="0.00">
                  <c:v>146.93574957712792</c:v>
                </c:pt>
                <c:pt idx="35" formatCode="0.00">
                  <c:v>143.68185759104301</c:v>
                </c:pt>
                <c:pt idx="36" formatCode="0.00">
                  <c:v>140.42796560496316</c:v>
                </c:pt>
                <c:pt idx="37" formatCode="0.00">
                  <c:v>137.29680650679694</c:v>
                </c:pt>
                <c:pt idx="38" formatCode="0.00">
                  <c:v>134.16564740863527</c:v>
                </c:pt>
                <c:pt idx="39" formatCode="0.00">
                  <c:v>131.14351814110566</c:v>
                </c:pt>
                <c:pt idx="40" formatCode="0.00">
                  <c:v>128.12138887358</c:v>
                </c:pt>
                <c:pt idx="41" formatCode="0.00">
                  <c:v>125.19287056894929</c:v>
                </c:pt>
                <c:pt idx="42" formatCode="0.00">
                  <c:v>122.26435226432187</c:v>
                </c:pt>
                <c:pt idx="43" formatCode="0.00">
                  <c:v>119.41255323711329</c:v>
                </c:pt>
                <c:pt idx="44" formatCode="0.00">
                  <c:v>116.56075420990732</c:v>
                </c:pt>
                <c:pt idx="45" formatCode="0.00">
                  <c:v>113.76757595798959</c:v>
                </c:pt>
                <c:pt idx="46" formatCode="0.00">
                  <c:v>110.97439770607374</c:v>
                </c:pt>
                <c:pt idx="47" formatCode="0.00">
                  <c:v>108.22081974967833</c:v>
                </c:pt>
                <c:pt idx="48" formatCode="0.00">
                  <c:v>105.46724179328402</c:v>
                </c:pt>
                <c:pt idx="49" formatCode="0.00">
                  <c:v>102.73362089664182</c:v>
                </c:pt>
                <c:pt idx="50" formatCode="0.00">
                  <c:v>100</c:v>
                </c:pt>
              </c:numCache>
            </c:numRef>
          </c:yVal>
          <c:smooth val="1"/>
        </c:ser>
        <c:axId val="53925376"/>
        <c:axId val="53926912"/>
      </c:scatterChart>
      <c:valAx>
        <c:axId val="53925376"/>
        <c:scaling>
          <c:orientation val="minMax"/>
          <c:max val="0.1"/>
          <c:min val="0"/>
        </c:scaling>
        <c:axPos val="b"/>
        <c:numFmt formatCode="0.000" sourceLinked="1"/>
        <c:tickLblPos val="nextTo"/>
        <c:crossAx val="53926912"/>
        <c:crosses val="autoZero"/>
        <c:crossBetween val="midCat"/>
      </c:valAx>
      <c:valAx>
        <c:axId val="53926912"/>
        <c:scaling>
          <c:orientation val="minMax"/>
          <c:max val="300"/>
        </c:scaling>
        <c:axPos val="l"/>
        <c:majorGridlines/>
        <c:numFmt formatCode="_-* #,##0.00\ _₽_-;\-* #,##0.00\ _₽_-;_-* &quot;-&quot;??\ _₽_-;_-@_-" sourceLinked="1"/>
        <c:tickLblPos val="nextTo"/>
        <c:crossAx val="53925376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plotArea>
      <c:layout>
        <c:manualLayout>
          <c:layoutTarget val="inner"/>
          <c:xMode val="edge"/>
          <c:yMode val="edge"/>
          <c:x val="0.1107954048024022"/>
          <c:y val="9.2236372333681774E-2"/>
          <c:w val="0.82752792958890253"/>
          <c:h val="0.8102719988347401"/>
        </c:manualLayout>
      </c:layout>
      <c:scatterChart>
        <c:scatterStyle val="smoothMarker"/>
        <c:ser>
          <c:idx val="0"/>
          <c:order val="0"/>
          <c:spPr>
            <a:ln w="41275"/>
          </c:spPr>
          <c:marker>
            <c:symbol val="none"/>
          </c:marker>
          <c:xVal>
            <c:numRef>
              <c:f>'ГУ 2-ого рода'!$E$3:$BC$3</c:f>
              <c:numCache>
                <c:formatCode>0.000</c:formatCode>
                <c:ptCount val="5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</c:numCache>
            </c:numRef>
          </c:xVal>
          <c:yVal>
            <c:numRef>
              <c:f>'ГУ 2-ого рода'!$E$4:$BC$4</c:f>
              <c:numCache>
                <c:formatCode>0.000</c:formatCode>
                <c:ptCount val="51"/>
                <c:pt idx="0" formatCode="_-* #,##0.00\ _₽_-;\-* #,##0.00\ _₽_-;_-* &quot;-&quot;??\ _₽_-;_-@_-">
                  <c:v>300</c:v>
                </c:pt>
                <c:pt idx="1">
                  <c:v>295.99999990652606</c:v>
                </c:pt>
                <c:pt idx="2">
                  <c:v>291.999999813052</c:v>
                </c:pt>
                <c:pt idx="3">
                  <c:v>287.99999972105229</c:v>
                </c:pt>
                <c:pt idx="4">
                  <c:v>283.99999962905235</c:v>
                </c:pt>
                <c:pt idx="5">
                  <c:v>279.99999953997769</c:v>
                </c:pt>
                <c:pt idx="6">
                  <c:v>275.99999945090281</c:v>
                </c:pt>
                <c:pt idx="7">
                  <c:v>271.99999936615791</c:v>
                </c:pt>
                <c:pt idx="8">
                  <c:v>267.99999928141278</c:v>
                </c:pt>
                <c:pt idx="9">
                  <c:v>263.99999920233415</c:v>
                </c:pt>
                <c:pt idx="10">
                  <c:v>259.99999912325535</c:v>
                </c:pt>
                <c:pt idx="11">
                  <c:v>255.9999990510901</c:v>
                </c:pt>
                <c:pt idx="12">
                  <c:v>251.99999897892468</c:v>
                </c:pt>
                <c:pt idx="13">
                  <c:v>247.99999891481087</c:v>
                </c:pt>
                <c:pt idx="14">
                  <c:v>243.99999885069695</c:v>
                </c:pt>
                <c:pt idx="15">
                  <c:v>239.99999879564575</c:v>
                </c:pt>
                <c:pt idx="16">
                  <c:v>235.99999874059444</c:v>
                </c:pt>
                <c:pt idx="17">
                  <c:v>231.99999869547403</c:v>
                </c:pt>
                <c:pt idx="18">
                  <c:v>227.99999865035352</c:v>
                </c:pt>
                <c:pt idx="19">
                  <c:v>223.99999861587548</c:v>
                </c:pt>
                <c:pt idx="20">
                  <c:v>219.99999858139731</c:v>
                </c:pt>
                <c:pt idx="21">
                  <c:v>215.99999855810535</c:v>
                </c:pt>
                <c:pt idx="22">
                  <c:v>211.9999985348133</c:v>
                </c:pt>
                <c:pt idx="23">
                  <c:v>207.99999852307479</c:v>
                </c:pt>
                <c:pt idx="24">
                  <c:v>203.99999851133617</c:v>
                </c:pt>
                <c:pt idx="25">
                  <c:v>199.99999851133623</c:v>
                </c:pt>
                <c:pt idx="26">
                  <c:v>195.99999851133617</c:v>
                </c:pt>
                <c:pt idx="27">
                  <c:v>191.99999852307479</c:v>
                </c:pt>
                <c:pt idx="28">
                  <c:v>187.9999985348133</c:v>
                </c:pt>
                <c:pt idx="29">
                  <c:v>183.99999855810532</c:v>
                </c:pt>
                <c:pt idx="30">
                  <c:v>179.99999858139731</c:v>
                </c:pt>
                <c:pt idx="31">
                  <c:v>175.99999861587543</c:v>
                </c:pt>
                <c:pt idx="32">
                  <c:v>171.99999865035352</c:v>
                </c:pt>
                <c:pt idx="33">
                  <c:v>167.99999869547398</c:v>
                </c:pt>
                <c:pt idx="34">
                  <c:v>163.99999874059444</c:v>
                </c:pt>
                <c:pt idx="35">
                  <c:v>159.99999879564569</c:v>
                </c:pt>
                <c:pt idx="36">
                  <c:v>155.99999885069695</c:v>
                </c:pt>
                <c:pt idx="37">
                  <c:v>151.99999891481079</c:v>
                </c:pt>
                <c:pt idx="38">
                  <c:v>147.99999897892462</c:v>
                </c:pt>
                <c:pt idx="39">
                  <c:v>143.99999905108996</c:v>
                </c:pt>
                <c:pt idx="40">
                  <c:v>139.99999912325529</c:v>
                </c:pt>
                <c:pt idx="41">
                  <c:v>135.99999920233404</c:v>
                </c:pt>
                <c:pt idx="42">
                  <c:v>131.99999928141276</c:v>
                </c:pt>
                <c:pt idx="43">
                  <c:v>127.99999936615775</c:v>
                </c:pt>
                <c:pt idx="44">
                  <c:v>123.99999945090275</c:v>
                </c:pt>
                <c:pt idx="45">
                  <c:v>119.99999953997755</c:v>
                </c:pt>
                <c:pt idx="46">
                  <c:v>115.99999962905235</c:v>
                </c:pt>
                <c:pt idx="47">
                  <c:v>111.99999972105221</c:v>
                </c:pt>
                <c:pt idx="48">
                  <c:v>107.99999981305204</c:v>
                </c:pt>
                <c:pt idx="49">
                  <c:v>103.99999990652603</c:v>
                </c:pt>
                <c:pt idx="5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8E1-4F94-89D0-C1B3496E3A59}"/>
            </c:ext>
          </c:extLst>
        </c:ser>
        <c:axId val="56082816"/>
        <c:axId val="56084352"/>
      </c:scatterChart>
      <c:valAx>
        <c:axId val="56082816"/>
        <c:scaling>
          <c:orientation val="minMax"/>
          <c:max val="0.1"/>
          <c:min val="0"/>
        </c:scaling>
        <c:axPos val="b"/>
        <c:numFmt formatCode="0.000" sourceLinked="1"/>
        <c:tickLblPos val="nextTo"/>
        <c:crossAx val="56084352"/>
        <c:crosses val="autoZero"/>
        <c:crossBetween val="midCat"/>
        <c:majorUnit val="1.0000000000000005E-2"/>
        <c:minorUnit val="2.0000000000000052E-3"/>
      </c:valAx>
      <c:valAx>
        <c:axId val="56084352"/>
        <c:scaling>
          <c:orientation val="minMax"/>
          <c:min val="0"/>
        </c:scaling>
        <c:axPos val="l"/>
        <c:majorGridlines/>
        <c:numFmt formatCode="0.000" sourceLinked="0"/>
        <c:tickLblPos val="nextTo"/>
        <c:crossAx val="56082816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plotArea>
      <c:layout>
        <c:manualLayout>
          <c:layoutTarget val="inner"/>
          <c:xMode val="edge"/>
          <c:yMode val="edge"/>
          <c:x val="0.16420159744022272"/>
          <c:y val="5.7185863801049404E-2"/>
          <c:w val="0.74483217619381625"/>
          <c:h val="0.83741288071812159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'ГУ 3-ого рода'!$E$3:$BC$3</c:f>
              <c:numCache>
                <c:formatCode>0.00</c:formatCode>
                <c:ptCount val="5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 formatCode="0.000">
                  <c:v>1.2E-2</c:v>
                </c:pt>
                <c:pt idx="7" formatCode="0.000">
                  <c:v>1.4E-2</c:v>
                </c:pt>
                <c:pt idx="8" formatCode="0.000">
                  <c:v>1.6E-2</c:v>
                </c:pt>
                <c:pt idx="9" formatCode="0.000">
                  <c:v>1.8000000000000002E-2</c:v>
                </c:pt>
                <c:pt idx="10" formatCode="0.000">
                  <c:v>2.0000000000000004E-2</c:v>
                </c:pt>
                <c:pt idx="11" formatCode="0.000">
                  <c:v>2.2000000000000006E-2</c:v>
                </c:pt>
                <c:pt idx="12" formatCode="0.000">
                  <c:v>2.4000000000000007E-2</c:v>
                </c:pt>
                <c:pt idx="13" formatCode="0.000">
                  <c:v>2.6000000000000009E-2</c:v>
                </c:pt>
                <c:pt idx="14" formatCode="0.000">
                  <c:v>2.8000000000000011E-2</c:v>
                </c:pt>
                <c:pt idx="15" formatCode="0.000">
                  <c:v>3.0000000000000013E-2</c:v>
                </c:pt>
                <c:pt idx="16" formatCode="0.000">
                  <c:v>3.2000000000000015E-2</c:v>
                </c:pt>
                <c:pt idx="17" formatCode="0.000">
                  <c:v>3.4000000000000016E-2</c:v>
                </c:pt>
                <c:pt idx="18" formatCode="0.000">
                  <c:v>3.6000000000000018E-2</c:v>
                </c:pt>
                <c:pt idx="19" formatCode="0.000">
                  <c:v>3.800000000000002E-2</c:v>
                </c:pt>
                <c:pt idx="20" formatCode="0.000">
                  <c:v>4.0000000000000022E-2</c:v>
                </c:pt>
                <c:pt idx="21" formatCode="0.000">
                  <c:v>4.2000000000000023E-2</c:v>
                </c:pt>
                <c:pt idx="22" formatCode="0.000">
                  <c:v>4.4000000000000025E-2</c:v>
                </c:pt>
                <c:pt idx="23" formatCode="0.000">
                  <c:v>4.6000000000000027E-2</c:v>
                </c:pt>
                <c:pt idx="24" formatCode="0.000">
                  <c:v>4.8000000000000029E-2</c:v>
                </c:pt>
                <c:pt idx="25" formatCode="0.000">
                  <c:v>5.0000000000000031E-2</c:v>
                </c:pt>
                <c:pt idx="26" formatCode="0.000">
                  <c:v>5.2000000000000032E-2</c:v>
                </c:pt>
                <c:pt idx="27" formatCode="0.000">
                  <c:v>5.4000000000000034E-2</c:v>
                </c:pt>
                <c:pt idx="28" formatCode="0.000">
                  <c:v>5.6000000000000036E-2</c:v>
                </c:pt>
                <c:pt idx="29" formatCode="0.000">
                  <c:v>5.8000000000000038E-2</c:v>
                </c:pt>
                <c:pt idx="30" formatCode="0.000">
                  <c:v>6.0000000000000039E-2</c:v>
                </c:pt>
                <c:pt idx="31" formatCode="0.000">
                  <c:v>6.2000000000000041E-2</c:v>
                </c:pt>
                <c:pt idx="32" formatCode="0.000">
                  <c:v>6.4000000000000043E-2</c:v>
                </c:pt>
                <c:pt idx="33" formatCode="0.000">
                  <c:v>6.6000000000000045E-2</c:v>
                </c:pt>
                <c:pt idx="34" formatCode="0.000">
                  <c:v>6.8000000000000047E-2</c:v>
                </c:pt>
                <c:pt idx="35" formatCode="0.000">
                  <c:v>7.0000000000000048E-2</c:v>
                </c:pt>
                <c:pt idx="36" formatCode="0.000">
                  <c:v>7.200000000000005E-2</c:v>
                </c:pt>
                <c:pt idx="37" formatCode="0.000">
                  <c:v>7.4000000000000052E-2</c:v>
                </c:pt>
                <c:pt idx="38" formatCode="0.000">
                  <c:v>7.6000000000000054E-2</c:v>
                </c:pt>
                <c:pt idx="39" formatCode="0.000">
                  <c:v>7.8000000000000055E-2</c:v>
                </c:pt>
                <c:pt idx="40" formatCode="0.000">
                  <c:v>8.0000000000000057E-2</c:v>
                </c:pt>
                <c:pt idx="41" formatCode="0.000">
                  <c:v>8.2000000000000059E-2</c:v>
                </c:pt>
                <c:pt idx="42" formatCode="0.000">
                  <c:v>8.4000000000000061E-2</c:v>
                </c:pt>
                <c:pt idx="43" formatCode="0.000">
                  <c:v>8.6000000000000063E-2</c:v>
                </c:pt>
                <c:pt idx="44" formatCode="0.000">
                  <c:v>8.8000000000000064E-2</c:v>
                </c:pt>
                <c:pt idx="45" formatCode="0.000">
                  <c:v>9.0000000000000066E-2</c:v>
                </c:pt>
                <c:pt idx="46" formatCode="0.000">
                  <c:v>9.2000000000000068E-2</c:v>
                </c:pt>
                <c:pt idx="47" formatCode="0.000">
                  <c:v>9.400000000000007E-2</c:v>
                </c:pt>
                <c:pt idx="48" formatCode="0.000">
                  <c:v>9.6000000000000071E-2</c:v>
                </c:pt>
                <c:pt idx="49" formatCode="0.000">
                  <c:v>9.8000000000000073E-2</c:v>
                </c:pt>
                <c:pt idx="50" formatCode="0.000">
                  <c:v>0.10000000000000007</c:v>
                </c:pt>
              </c:numCache>
            </c:numRef>
          </c:xVal>
          <c:yVal>
            <c:numRef>
              <c:f>'ГУ 3-ого рода'!$E$4:$BC$4</c:f>
              <c:numCache>
                <c:formatCode>0.00</c:formatCode>
                <c:ptCount val="51"/>
                <c:pt idx="0">
                  <c:v>466.36797408403118</c:v>
                </c:pt>
                <c:pt idx="1">
                  <c:v>456.21005991377166</c:v>
                </c:pt>
                <c:pt idx="2">
                  <c:v>446.17484550587858</c:v>
                </c:pt>
                <c:pt idx="3">
                  <c:v>436.26725884607777</c:v>
                </c:pt>
                <c:pt idx="4">
                  <c:v>426.49242712833541</c:v>
                </c:pt>
                <c:pt idx="5">
                  <c:v>416.85490478783947</c:v>
                </c:pt>
                <c:pt idx="6">
                  <c:v>407.35981737351204</c:v>
                </c:pt>
                <c:pt idx="7">
                  <c:v>398.0113379382089</c:v>
                </c:pt>
                <c:pt idx="8">
                  <c:v>388.81457226132011</c:v>
                </c:pt>
                <c:pt idx="9">
                  <c:v>379.77330856963044</c:v>
                </c:pt>
                <c:pt idx="10">
                  <c:v>370.89261313155941</c:v>
                </c:pt>
                <c:pt idx="11">
                  <c:v>362.17589020904234</c:v>
                </c:pt>
                <c:pt idx="12">
                  <c:v>353.62814538495888</c:v>
                </c:pt>
                <c:pt idx="13">
                  <c:v>345.25240396756988</c:v>
                </c:pt>
                <c:pt idx="14">
                  <c:v>337.05358845276754</c:v>
                </c:pt>
                <c:pt idx="15">
                  <c:v>329.03435413221928</c:v>
                </c:pt>
                <c:pt idx="16">
                  <c:v>321.19951701218929</c:v>
                </c:pt>
                <c:pt idx="17">
                  <c:v>313.55137494178899</c:v>
                </c:pt>
                <c:pt idx="18">
                  <c:v>306.09461327575292</c:v>
                </c:pt>
                <c:pt idx="19">
                  <c:v>298.83118828310461</c:v>
                </c:pt>
                <c:pt idx="20">
                  <c:v>291.76563000073088</c:v>
                </c:pt>
                <c:pt idx="21">
                  <c:v>284.89957186679356</c:v>
                </c:pt>
                <c:pt idx="22">
                  <c:v>278.23736369392827</c:v>
                </c:pt>
                <c:pt idx="23">
                  <c:v>271.78033727800602</c:v>
                </c:pt>
                <c:pt idx="24">
                  <c:v>265.53263733125726</c:v>
                </c:pt>
                <c:pt idx="25">
                  <c:v>259.49531715027808</c:v>
                </c:pt>
                <c:pt idx="26">
                  <c:v>253.67229177383985</c:v>
                </c:pt>
                <c:pt idx="27">
                  <c:v>248.06436058328842</c:v>
                </c:pt>
                <c:pt idx="28">
                  <c:v>242.67518494588791</c:v>
                </c:pt>
                <c:pt idx="29">
                  <c:v>237.50533582027563</c:v>
                </c:pt>
                <c:pt idx="30">
                  <c:v>232.55819774674029</c:v>
                </c:pt>
                <c:pt idx="31">
                  <c:v>227.83413912055448</c:v>
                </c:pt>
                <c:pt idx="32">
                  <c:v>223.33624560210339</c:v>
                </c:pt>
                <c:pt idx="33">
                  <c:v>219.06470870851416</c:v>
                </c:pt>
                <c:pt idx="34">
                  <c:v>215.02229451908028</c:v>
                </c:pt>
                <c:pt idx="35">
                  <c:v>211.20904265373449</c:v>
                </c:pt>
                <c:pt idx="36">
                  <c:v>207.62738049669491</c:v>
                </c:pt>
                <c:pt idx="37">
                  <c:v>204.27721953781909</c:v>
                </c:pt>
                <c:pt idx="38">
                  <c:v>201.16063115841862</c:v>
                </c:pt>
                <c:pt idx="39">
                  <c:v>198.27742079199643</c:v>
                </c:pt>
                <c:pt idx="40">
                  <c:v>195.62928851514647</c:v>
                </c:pt>
                <c:pt idx="41">
                  <c:v>193.21595364463025</c:v>
                </c:pt>
                <c:pt idx="42">
                  <c:v>191.03873183499829</c:v>
                </c:pt>
                <c:pt idx="43">
                  <c:v>189.09727369806276</c:v>
                </c:pt>
                <c:pt idx="44">
                  <c:v>187.39249968848932</c:v>
                </c:pt>
                <c:pt idx="45">
                  <c:v>185.92400625765879</c:v>
                </c:pt>
                <c:pt idx="46">
                  <c:v>184.69231035173701</c:v>
                </c:pt>
                <c:pt idx="47">
                  <c:v>183.69696565998157</c:v>
                </c:pt>
                <c:pt idx="48">
                  <c:v>182.93807988365447</c:v>
                </c:pt>
                <c:pt idx="49">
                  <c:v>182.41517198869852</c:v>
                </c:pt>
                <c:pt idx="50">
                  <c:v>182.12793734230223</c:v>
                </c:pt>
              </c:numCache>
            </c:numRef>
          </c:yVal>
        </c:ser>
        <c:axId val="73672192"/>
        <c:axId val="73673728"/>
      </c:scatterChart>
      <c:valAx>
        <c:axId val="73672192"/>
        <c:scaling>
          <c:orientation val="minMax"/>
          <c:max val="0.1"/>
        </c:scaling>
        <c:axPos val="b"/>
        <c:numFmt formatCode="0.00" sourceLinked="1"/>
        <c:tickLblPos val="nextTo"/>
        <c:crossAx val="73673728"/>
        <c:crosses val="autoZero"/>
        <c:crossBetween val="midCat"/>
        <c:majorUnit val="1.0000000000000005E-2"/>
      </c:valAx>
      <c:valAx>
        <c:axId val="73673728"/>
        <c:scaling>
          <c:orientation val="minMax"/>
          <c:max val="700"/>
          <c:min val="0"/>
        </c:scaling>
        <c:axPos val="l"/>
        <c:majorGridlines/>
        <c:numFmt formatCode="0.00" sourceLinked="1"/>
        <c:tickLblPos val="nextTo"/>
        <c:crossAx val="73672192"/>
        <c:crosses val="autoZero"/>
        <c:crossBetween val="midCat"/>
        <c:majorUnit val="50"/>
        <c:minorUnit val="25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5706</xdr:colOff>
      <xdr:row>7</xdr:row>
      <xdr:rowOff>11409</xdr:rowOff>
    </xdr:from>
    <xdr:to>
      <xdr:col>16</xdr:col>
      <xdr:colOff>152402</xdr:colOff>
      <xdr:row>26</xdr:row>
      <xdr:rowOff>147510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0.89888</cdr:x>
      <cdr:y>0.90775</cdr:y>
    </cdr:from>
    <cdr:to>
      <cdr:x>0.96061</cdr:x>
      <cdr:y>0.96711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077200" y="4475019"/>
          <a:ext cx="554784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0.00099</cdr:x>
      <cdr:y>0.01416</cdr:y>
    </cdr:from>
    <cdr:to>
      <cdr:x>0.06884</cdr:x>
      <cdr:y>0.07352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8965" y="69069"/>
          <a:ext cx="611478" cy="28958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185057</xdr:rowOff>
    </xdr:from>
    <xdr:to>
      <xdr:col>16</xdr:col>
      <xdr:colOff>163287</xdr:colOff>
      <xdr:row>30</xdr:row>
      <xdr:rowOff>119741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97972</xdr:colOff>
      <xdr:row>10</xdr:row>
      <xdr:rowOff>10887</xdr:rowOff>
    </xdr:from>
    <xdr:to>
      <xdr:col>3</xdr:col>
      <xdr:colOff>525735</xdr:colOff>
      <xdr:row>10</xdr:row>
      <xdr:rowOff>227363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1926772" y="2394858"/>
          <a:ext cx="427763" cy="21647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𝑇, ℃ </a:t>
          </a:r>
          <a:endParaRPr lang="ru-RU" sz="1400"/>
        </a:p>
      </xdr:txBody>
    </xdr:sp>
    <xdr:clientData/>
  </xdr:twoCellAnchor>
  <xdr:twoCellAnchor>
    <xdr:from>
      <xdr:col>15</xdr:col>
      <xdr:colOff>326571</xdr:colOff>
      <xdr:row>29</xdr:row>
      <xdr:rowOff>76199</xdr:rowOff>
    </xdr:from>
    <xdr:to>
      <xdr:col>16</xdr:col>
      <xdr:colOff>90481</xdr:colOff>
      <xdr:row>30</xdr:row>
      <xdr:rowOff>64075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/>
      </xdr:nvSpPr>
      <xdr:spPr>
        <a:xfrm>
          <a:off x="10297885" y="6868885"/>
          <a:ext cx="384396" cy="21647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𝐿, м </a:t>
          </a:r>
          <a:endParaRPr lang="ru-RU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161365</xdr:colOff>
      <xdr:row>7</xdr:row>
      <xdr:rowOff>17928</xdr:rowOff>
    </xdr:from>
    <xdr:to>
      <xdr:col>15</xdr:col>
      <xdr:colOff>251012</xdr:colOff>
      <xdr:row>29</xdr:row>
      <xdr:rowOff>161365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376518</xdr:colOff>
      <xdr:row>8</xdr:row>
      <xdr:rowOff>8965</xdr:rowOff>
    </xdr:from>
    <xdr:to>
      <xdr:col>3</xdr:col>
      <xdr:colOff>194681</xdr:colOff>
      <xdr:row>9</xdr:row>
      <xdr:rowOff>46147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1676400" y="1927412"/>
          <a:ext cx="427763" cy="21647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𝑇, ℃ </a:t>
          </a:r>
          <a:endParaRPr lang="ru-RU" sz="14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0.92623</cdr:x>
      <cdr:y>0.94578</cdr:y>
    </cdr:from>
    <cdr:to>
      <cdr:x>0.99329</cdr:x>
      <cdr:y>0.98423</cdr:y>
    </cdr:to>
    <cdr:sp macro="" textlink="">
      <cdr:nvSpPr>
        <cdr:cNvPr id="2" name="TextBox 9">
          <a:extLst xmlns:a="http://schemas.openxmlformats.org/drawingml/2006/main">
            <a:ext uri="{FF2B5EF4-FFF2-40B4-BE49-F238E27FC236}">
              <a16:creationId xmlns:xdr="http://schemas.openxmlformats.org/drawingml/2006/spreadsheetDrawing" xmlns="" xmlns:a16="http://schemas.microsoft.com/office/drawing/2014/main" xmlns:lc="http://schemas.openxmlformats.org/drawingml/2006/lockedCanvas" id="{00000000-0008-0000-0000-00000A000000}"/>
            </a:ext>
          </a:extLst>
        </cdr:cNvPr>
        <cdr:cNvSpPr txBox="1"/>
      </cdr:nvSpPr>
      <cdr:spPr>
        <a:xfrm xmlns:a="http://schemas.openxmlformats.org/drawingml/2006/main">
          <a:off x="7423222" y="4222377"/>
          <a:ext cx="537438" cy="1716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400" b="0" i="0">
              <a:latin typeface="Cambria Math" panose="02040503050406030204" pitchFamily="18" charset="0"/>
            </a:rPr>
            <a:t>𝐿, м </a:t>
          </a:r>
          <a:endParaRPr lang="ru-RU" sz="14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BC12"/>
  <sheetViews>
    <sheetView zoomScaleNormal="100" workbookViewId="0">
      <selection activeCell="F4" sqref="F4:BB4"/>
    </sheetView>
  </sheetViews>
  <sheetFormatPr defaultColWidth="8.88671875" defaultRowHeight="18"/>
  <cols>
    <col min="1" max="4" width="8.88671875" style="4"/>
    <col min="5" max="5" width="12.109375" style="4" bestFit="1" customWidth="1"/>
    <col min="6" max="7" width="12.6640625" style="4" bestFit="1" customWidth="1"/>
    <col min="8" max="8" width="9.109375" style="4" bestFit="1" customWidth="1"/>
    <col min="9" max="9" width="9.6640625" style="4" bestFit="1" customWidth="1"/>
    <col min="10" max="34" width="9.109375" style="4" bestFit="1" customWidth="1"/>
    <col min="35" max="35" width="9.6640625" style="4" bestFit="1" customWidth="1"/>
    <col min="36" max="52" width="9.109375" style="4" bestFit="1" customWidth="1"/>
    <col min="53" max="53" width="11.5546875" style="4" bestFit="1" customWidth="1"/>
    <col min="54" max="54" width="8.88671875" style="4"/>
    <col min="55" max="55" width="9.6640625" style="4" bestFit="1" customWidth="1"/>
    <col min="56" max="16384" width="8.88671875" style="4"/>
  </cols>
  <sheetData>
    <row r="1" spans="1:55">
      <c r="A1" s="1" t="s">
        <v>0</v>
      </c>
      <c r="B1" s="1">
        <v>0.1</v>
      </c>
    </row>
    <row r="2" spans="1:55">
      <c r="A2" s="1" t="s">
        <v>1</v>
      </c>
      <c r="B2" s="2">
        <f>B1/50</f>
        <v>2E-3</v>
      </c>
      <c r="D2" s="4" t="s">
        <v>10</v>
      </c>
      <c r="E2" s="5">
        <v>1</v>
      </c>
      <c r="F2" s="5">
        <v>2</v>
      </c>
      <c r="G2" s="5">
        <v>3</v>
      </c>
      <c r="H2" s="5">
        <v>4</v>
      </c>
      <c r="I2" s="5">
        <v>5</v>
      </c>
      <c r="J2" s="5">
        <v>6</v>
      </c>
      <c r="K2" s="5">
        <v>7</v>
      </c>
      <c r="L2" s="5">
        <v>8</v>
      </c>
      <c r="M2" s="5">
        <v>9</v>
      </c>
      <c r="N2" s="5">
        <v>10</v>
      </c>
      <c r="O2" s="5">
        <v>11</v>
      </c>
      <c r="P2" s="5">
        <v>12</v>
      </c>
      <c r="Q2" s="5">
        <v>13</v>
      </c>
      <c r="R2" s="5">
        <v>14</v>
      </c>
      <c r="S2" s="5">
        <v>15</v>
      </c>
      <c r="T2" s="6">
        <v>16</v>
      </c>
      <c r="U2" s="6">
        <v>17</v>
      </c>
      <c r="V2" s="6">
        <v>18</v>
      </c>
      <c r="W2" s="6">
        <v>19</v>
      </c>
      <c r="X2" s="6">
        <v>20</v>
      </c>
      <c r="Y2" s="6">
        <v>21</v>
      </c>
      <c r="Z2" s="6">
        <v>22</v>
      </c>
      <c r="AA2" s="6">
        <v>23</v>
      </c>
      <c r="AB2" s="6">
        <v>24</v>
      </c>
      <c r="AC2" s="6">
        <v>25</v>
      </c>
      <c r="AD2" s="6">
        <v>26</v>
      </c>
      <c r="AE2" s="6">
        <v>27</v>
      </c>
      <c r="AF2" s="6">
        <v>28</v>
      </c>
      <c r="AG2" s="6">
        <v>29</v>
      </c>
      <c r="AH2" s="6">
        <v>30</v>
      </c>
      <c r="AI2" s="6">
        <v>31</v>
      </c>
      <c r="AJ2" s="6">
        <v>32</v>
      </c>
      <c r="AK2" s="6">
        <v>33</v>
      </c>
      <c r="AL2" s="6">
        <v>34</v>
      </c>
      <c r="AM2" s="6">
        <v>35</v>
      </c>
      <c r="AN2" s="6">
        <v>36</v>
      </c>
      <c r="AO2" s="6">
        <v>37</v>
      </c>
      <c r="AP2" s="6">
        <v>38</v>
      </c>
      <c r="AQ2" s="6">
        <v>39</v>
      </c>
      <c r="AR2" s="6">
        <v>40</v>
      </c>
      <c r="AS2" s="6">
        <v>41</v>
      </c>
      <c r="AT2" s="6">
        <v>42</v>
      </c>
      <c r="AU2" s="6">
        <v>43</v>
      </c>
      <c r="AV2" s="6">
        <v>44</v>
      </c>
      <c r="AW2" s="6">
        <v>45</v>
      </c>
      <c r="AX2" s="6">
        <v>46</v>
      </c>
      <c r="AY2" s="6">
        <v>47</v>
      </c>
      <c r="AZ2" s="6">
        <v>48</v>
      </c>
      <c r="BA2" s="6">
        <v>49</v>
      </c>
      <c r="BB2" s="6">
        <v>50</v>
      </c>
      <c r="BC2" s="6">
        <v>51</v>
      </c>
    </row>
    <row r="3" spans="1:55">
      <c r="A3" s="1" t="s">
        <v>2</v>
      </c>
      <c r="B3" s="2">
        <f>(B7*B6*B2^2)/(2*B8)</f>
        <v>0.15599999999999997</v>
      </c>
      <c r="D3" s="4" t="s">
        <v>0</v>
      </c>
      <c r="E3" s="7">
        <v>0</v>
      </c>
      <c r="F3" s="7">
        <f>E3+$B$2</f>
        <v>2E-3</v>
      </c>
      <c r="G3" s="7">
        <f t="shared" ref="G3:BC3" si="0">F3+$B$2</f>
        <v>4.0000000000000001E-3</v>
      </c>
      <c r="H3" s="7">
        <f t="shared" si="0"/>
        <v>6.0000000000000001E-3</v>
      </c>
      <c r="I3" s="7">
        <f t="shared" si="0"/>
        <v>8.0000000000000002E-3</v>
      </c>
      <c r="J3" s="7">
        <f t="shared" si="0"/>
        <v>0.01</v>
      </c>
      <c r="K3" s="7">
        <f t="shared" si="0"/>
        <v>1.2E-2</v>
      </c>
      <c r="L3" s="7">
        <f t="shared" si="0"/>
        <v>1.4E-2</v>
      </c>
      <c r="M3" s="7">
        <f t="shared" si="0"/>
        <v>1.6E-2</v>
      </c>
      <c r="N3" s="7">
        <f t="shared" si="0"/>
        <v>1.8000000000000002E-2</v>
      </c>
      <c r="O3" s="7">
        <f t="shared" si="0"/>
        <v>2.0000000000000004E-2</v>
      </c>
      <c r="P3" s="7">
        <f t="shared" si="0"/>
        <v>2.2000000000000006E-2</v>
      </c>
      <c r="Q3" s="7">
        <f t="shared" si="0"/>
        <v>2.4000000000000007E-2</v>
      </c>
      <c r="R3" s="7">
        <f t="shared" si="0"/>
        <v>2.6000000000000009E-2</v>
      </c>
      <c r="S3" s="7">
        <f t="shared" si="0"/>
        <v>2.8000000000000011E-2</v>
      </c>
      <c r="T3" s="7">
        <f t="shared" si="0"/>
        <v>3.0000000000000013E-2</v>
      </c>
      <c r="U3" s="7">
        <f t="shared" si="0"/>
        <v>3.2000000000000015E-2</v>
      </c>
      <c r="V3" s="7">
        <f t="shared" si="0"/>
        <v>3.4000000000000016E-2</v>
      </c>
      <c r="W3" s="7">
        <f t="shared" si="0"/>
        <v>3.6000000000000018E-2</v>
      </c>
      <c r="X3" s="7">
        <f t="shared" si="0"/>
        <v>3.800000000000002E-2</v>
      </c>
      <c r="Y3" s="7">
        <f t="shared" si="0"/>
        <v>4.0000000000000022E-2</v>
      </c>
      <c r="Z3" s="7">
        <f t="shared" si="0"/>
        <v>4.2000000000000023E-2</v>
      </c>
      <c r="AA3" s="7">
        <f t="shared" si="0"/>
        <v>4.4000000000000025E-2</v>
      </c>
      <c r="AB3" s="7">
        <f t="shared" si="0"/>
        <v>4.6000000000000027E-2</v>
      </c>
      <c r="AC3" s="7">
        <f t="shared" si="0"/>
        <v>4.8000000000000029E-2</v>
      </c>
      <c r="AD3" s="7">
        <f t="shared" si="0"/>
        <v>5.0000000000000031E-2</v>
      </c>
      <c r="AE3" s="7">
        <f t="shared" si="0"/>
        <v>5.2000000000000032E-2</v>
      </c>
      <c r="AF3" s="7">
        <f t="shared" si="0"/>
        <v>5.4000000000000034E-2</v>
      </c>
      <c r="AG3" s="7">
        <f t="shared" si="0"/>
        <v>5.6000000000000036E-2</v>
      </c>
      <c r="AH3" s="7">
        <f t="shared" si="0"/>
        <v>5.8000000000000038E-2</v>
      </c>
      <c r="AI3" s="7">
        <f t="shared" si="0"/>
        <v>6.0000000000000039E-2</v>
      </c>
      <c r="AJ3" s="7">
        <f t="shared" si="0"/>
        <v>6.2000000000000041E-2</v>
      </c>
      <c r="AK3" s="7">
        <f t="shared" si="0"/>
        <v>6.4000000000000043E-2</v>
      </c>
      <c r="AL3" s="7">
        <f t="shared" si="0"/>
        <v>6.6000000000000045E-2</v>
      </c>
      <c r="AM3" s="7">
        <f t="shared" si="0"/>
        <v>6.8000000000000047E-2</v>
      </c>
      <c r="AN3" s="7">
        <f t="shared" si="0"/>
        <v>7.0000000000000048E-2</v>
      </c>
      <c r="AO3" s="7">
        <f t="shared" si="0"/>
        <v>7.200000000000005E-2</v>
      </c>
      <c r="AP3" s="7">
        <f t="shared" si="0"/>
        <v>7.4000000000000052E-2</v>
      </c>
      <c r="AQ3" s="7">
        <f t="shared" si="0"/>
        <v>7.6000000000000054E-2</v>
      </c>
      <c r="AR3" s="7">
        <f t="shared" si="0"/>
        <v>7.8000000000000055E-2</v>
      </c>
      <c r="AS3" s="7">
        <f t="shared" si="0"/>
        <v>8.0000000000000057E-2</v>
      </c>
      <c r="AT3" s="7">
        <f t="shared" si="0"/>
        <v>8.2000000000000059E-2</v>
      </c>
      <c r="AU3" s="7">
        <f t="shared" si="0"/>
        <v>8.4000000000000061E-2</v>
      </c>
      <c r="AV3" s="7">
        <f t="shared" si="0"/>
        <v>8.6000000000000063E-2</v>
      </c>
      <c r="AW3" s="7">
        <f t="shared" si="0"/>
        <v>8.8000000000000064E-2</v>
      </c>
      <c r="AX3" s="7">
        <f t="shared" si="0"/>
        <v>9.0000000000000066E-2</v>
      </c>
      <c r="AY3" s="7">
        <f t="shared" si="0"/>
        <v>9.2000000000000068E-2</v>
      </c>
      <c r="AZ3" s="7">
        <f t="shared" si="0"/>
        <v>9.400000000000007E-2</v>
      </c>
      <c r="BA3" s="7">
        <f t="shared" si="0"/>
        <v>9.6000000000000071E-2</v>
      </c>
      <c r="BB3" s="7">
        <f t="shared" si="0"/>
        <v>9.8000000000000073E-2</v>
      </c>
      <c r="BC3" s="7">
        <f t="shared" si="0"/>
        <v>0.10000000000000007</v>
      </c>
    </row>
    <row r="4" spans="1:55">
      <c r="A4" s="1" t="s">
        <v>3</v>
      </c>
      <c r="B4" s="1">
        <v>200</v>
      </c>
      <c r="C4" s="4">
        <v>200.14799999999997</v>
      </c>
      <c r="D4" s="4" t="s">
        <v>11</v>
      </c>
      <c r="E4" s="8">
        <f>B10</f>
        <v>300</v>
      </c>
      <c r="F4" s="7">
        <v>294.73300489696442</v>
      </c>
      <c r="G4" s="7">
        <v>289.46600979392923</v>
      </c>
      <c r="H4" s="12">
        <v>284.21901045617142</v>
      </c>
      <c r="I4" s="12">
        <v>278.97201111841463</v>
      </c>
      <c r="J4" s="12">
        <v>273.76468705521825</v>
      </c>
      <c r="K4" s="12">
        <v>268.55736299202374</v>
      </c>
      <c r="L4" s="12">
        <v>263.40876624546337</v>
      </c>
      <c r="M4" s="12">
        <v>258.2601694989055</v>
      </c>
      <c r="N4" s="12">
        <v>253.1884234390337</v>
      </c>
      <c r="O4" s="12">
        <v>248.11667737916514</v>
      </c>
      <c r="P4" s="12">
        <v>243.13869030245237</v>
      </c>
      <c r="Q4" s="12">
        <v>238.16070322574362</v>
      </c>
      <c r="R4" s="12">
        <v>233.29190131026411</v>
      </c>
      <c r="S4" s="12">
        <v>228.42309939478923</v>
      </c>
      <c r="T4" s="12">
        <v>223.67718324816886</v>
      </c>
      <c r="U4" s="12">
        <v>218.9312671015536</v>
      </c>
      <c r="V4" s="12">
        <v>214.3199957518712</v>
      </c>
      <c r="W4" s="12">
        <v>209.70872440219438</v>
      </c>
      <c r="X4" s="12">
        <v>205.2417301348037</v>
      </c>
      <c r="Y4" s="12">
        <v>200.77473586741894</v>
      </c>
      <c r="Z4" s="12">
        <v>196.45937280999564</v>
      </c>
      <c r="AA4" s="12">
        <v>192.14400975257848</v>
      </c>
      <c r="AB4" s="12">
        <v>187.9852385653835</v>
      </c>
      <c r="AC4" s="12">
        <v>183.82646737819479</v>
      </c>
      <c r="AD4" s="12">
        <v>179.82677782600402</v>
      </c>
      <c r="AE4" s="12">
        <v>175.82708827381964</v>
      </c>
      <c r="AF4" s="12">
        <v>171.98646085005532</v>
      </c>
      <c r="AG4" s="12">
        <v>168.14583342629737</v>
      </c>
      <c r="AH4" s="12">
        <v>164.46174057869817</v>
      </c>
      <c r="AI4" s="12">
        <v>160.77764773110511</v>
      </c>
      <c r="AJ4" s="12">
        <v>157.2450946119213</v>
      </c>
      <c r="AK4" s="12">
        <v>153.71254149274336</v>
      </c>
      <c r="AL4" s="12">
        <v>150.32414553493288</v>
      </c>
      <c r="AM4" s="12">
        <v>146.93574957712792</v>
      </c>
      <c r="AN4" s="12">
        <v>143.68185759104301</v>
      </c>
      <c r="AO4" s="12">
        <v>140.42796560496316</v>
      </c>
      <c r="AP4" s="12">
        <v>137.29680650679694</v>
      </c>
      <c r="AQ4" s="12">
        <v>134.16564740863527</v>
      </c>
      <c r="AR4" s="12">
        <v>131.14351814110566</v>
      </c>
      <c r="AS4" s="12">
        <v>128.12138887358</v>
      </c>
      <c r="AT4" s="12">
        <v>125.19287056894929</v>
      </c>
      <c r="AU4" s="12">
        <v>122.26435226432187</v>
      </c>
      <c r="AV4" s="12">
        <v>119.41255323711329</v>
      </c>
      <c r="AW4" s="12">
        <v>116.56075420990732</v>
      </c>
      <c r="AX4" s="12">
        <v>113.76757595798959</v>
      </c>
      <c r="AY4" s="12">
        <v>110.97439770607374</v>
      </c>
      <c r="AZ4" s="12">
        <v>108.22081974967833</v>
      </c>
      <c r="BA4" s="12">
        <v>105.46724179328402</v>
      </c>
      <c r="BB4" s="12">
        <v>102.73362089664182</v>
      </c>
      <c r="BC4" s="12">
        <f>B11</f>
        <v>100</v>
      </c>
    </row>
    <row r="5" spans="1:55">
      <c r="A5" s="3"/>
      <c r="B5" s="3"/>
      <c r="E5" s="7"/>
      <c r="F5" s="7"/>
      <c r="G5" s="7"/>
      <c r="H5" s="7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</row>
    <row r="6" spans="1:55" ht="20.399999999999999">
      <c r="A6" s="1" t="s">
        <v>4</v>
      </c>
      <c r="B6" s="1">
        <v>460</v>
      </c>
      <c r="D6" s="4" t="s">
        <v>12</v>
      </c>
      <c r="E6" s="7"/>
      <c r="F6" s="9">
        <f>F4+(($B$8*$B$3)/($B$7*$B$6))*((G4-2*F4+E4)/($B$2^2))</f>
        <v>294.73300489696464</v>
      </c>
      <c r="G6" s="9">
        <f t="shared" ref="G6:BB6" si="1">G4+(($B$8*$B$3)/($B$7*$B$6))*((H4-2*G4+F4)/($B$2^2))</f>
        <v>289.47600767656792</v>
      </c>
      <c r="H6" s="9">
        <f t="shared" si="1"/>
        <v>284.21901045617193</v>
      </c>
      <c r="I6" s="9">
        <f t="shared" si="1"/>
        <v>278.99184875569483</v>
      </c>
      <c r="J6" s="9">
        <f t="shared" si="1"/>
        <v>273.76468705521916</v>
      </c>
      <c r="K6" s="9">
        <f t="shared" si="1"/>
        <v>268.58672665034078</v>
      </c>
      <c r="L6" s="9">
        <f t="shared" si="1"/>
        <v>263.40876624546462</v>
      </c>
      <c r="M6" s="9">
        <f t="shared" si="1"/>
        <v>258.29859484224858</v>
      </c>
      <c r="N6" s="9">
        <f t="shared" si="1"/>
        <v>253.18842343903532</v>
      </c>
      <c r="O6" s="9">
        <f t="shared" si="1"/>
        <v>248.16355687074304</v>
      </c>
      <c r="P6" s="9">
        <f t="shared" si="1"/>
        <v>243.13869030245439</v>
      </c>
      <c r="Q6" s="9">
        <f t="shared" si="1"/>
        <v>238.21529580635823</v>
      </c>
      <c r="R6" s="9">
        <f t="shared" si="1"/>
        <v>233.29190131026644</v>
      </c>
      <c r="S6" s="9">
        <f t="shared" si="1"/>
        <v>228.48454227921647</v>
      </c>
      <c r="T6" s="9">
        <f t="shared" si="1"/>
        <v>223.67718324817142</v>
      </c>
      <c r="U6" s="9">
        <f t="shared" si="1"/>
        <v>218.99858950002002</v>
      </c>
      <c r="V6" s="9">
        <f t="shared" si="1"/>
        <v>214.31999575187399</v>
      </c>
      <c r="W6" s="9">
        <f t="shared" si="1"/>
        <v>209.78086294333744</v>
      </c>
      <c r="X6" s="9">
        <f t="shared" si="1"/>
        <v>205.24173013480666</v>
      </c>
      <c r="Y6" s="9">
        <f t="shared" si="1"/>
        <v>200.85055147239967</v>
      </c>
      <c r="Z6" s="9">
        <f t="shared" si="1"/>
        <v>196.45937280999871</v>
      </c>
      <c r="AA6" s="9">
        <f t="shared" si="1"/>
        <v>192.22230568768956</v>
      </c>
      <c r="AB6" s="9">
        <f t="shared" si="1"/>
        <v>187.98523856538662</v>
      </c>
      <c r="AC6" s="9">
        <f t="shared" si="1"/>
        <v>183.90600819569374</v>
      </c>
      <c r="AD6" s="9">
        <f t="shared" si="1"/>
        <v>179.82677782600723</v>
      </c>
      <c r="AE6" s="9">
        <f t="shared" si="1"/>
        <v>175.90661933802966</v>
      </c>
      <c r="AF6" s="9">
        <f t="shared" si="1"/>
        <v>171.98646085005851</v>
      </c>
      <c r="AG6" s="9">
        <f t="shared" si="1"/>
        <v>168.22410071437673</v>
      </c>
      <c r="AH6" s="9">
        <f t="shared" si="1"/>
        <v>164.46174057870124</v>
      </c>
      <c r="AI6" s="9">
        <f t="shared" si="1"/>
        <v>160.85341759530974</v>
      </c>
      <c r="AJ6" s="9">
        <f t="shared" si="1"/>
        <v>157.24509461192423</v>
      </c>
      <c r="AK6" s="9">
        <f t="shared" si="1"/>
        <v>153.78462007342708</v>
      </c>
      <c r="AL6" s="9">
        <f t="shared" si="1"/>
        <v>150.32414553493564</v>
      </c>
      <c r="AM6" s="9">
        <f t="shared" si="1"/>
        <v>147.00300156298795</v>
      </c>
      <c r="AN6" s="9">
        <f t="shared" si="1"/>
        <v>143.68185759104554</v>
      </c>
      <c r="AO6" s="9">
        <f t="shared" si="1"/>
        <v>140.48933204891998</v>
      </c>
      <c r="AP6" s="9">
        <f t="shared" si="1"/>
        <v>137.29680650679921</v>
      </c>
      <c r="AQ6" s="9">
        <f t="shared" si="1"/>
        <v>134.22016232395129</v>
      </c>
      <c r="AR6" s="9">
        <f t="shared" si="1"/>
        <v>131.14351814110762</v>
      </c>
      <c r="AS6" s="9">
        <f t="shared" si="1"/>
        <v>128.16819435502745</v>
      </c>
      <c r="AT6" s="9">
        <f t="shared" si="1"/>
        <v>125.19287056895094</v>
      </c>
      <c r="AU6" s="9">
        <f t="shared" si="1"/>
        <v>122.30271190303128</v>
      </c>
      <c r="AV6" s="9">
        <f t="shared" si="1"/>
        <v>119.41255323711459</v>
      </c>
      <c r="AW6" s="9">
        <f t="shared" si="1"/>
        <v>116.59006459755143</v>
      </c>
      <c r="AX6" s="9">
        <f t="shared" si="1"/>
        <v>113.76757595799053</v>
      </c>
      <c r="AY6" s="9">
        <f t="shared" si="1"/>
        <v>110.99419785383395</v>
      </c>
      <c r="AZ6" s="9">
        <f t="shared" si="1"/>
        <v>108.22081974967888</v>
      </c>
      <c r="BA6" s="9">
        <f t="shared" si="1"/>
        <v>105.47722032316008</v>
      </c>
      <c r="BB6" s="9">
        <f t="shared" si="1"/>
        <v>102.73362089664201</v>
      </c>
      <c r="BC6" s="9"/>
    </row>
    <row r="7" spans="1:55" ht="20.399999999999999">
      <c r="A7" s="3" t="s">
        <v>5</v>
      </c>
      <c r="B7" s="1">
        <v>7800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</row>
    <row r="8" spans="1:55">
      <c r="A8" s="1" t="s">
        <v>6</v>
      </c>
      <c r="B8" s="1">
        <v>46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5"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</row>
    <row r="10" spans="1:55" ht="20.399999999999999">
      <c r="A10" s="1" t="s">
        <v>7</v>
      </c>
      <c r="B10" s="1">
        <v>300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</row>
    <row r="11" spans="1:55" ht="20.399999999999999">
      <c r="A11" s="1" t="s">
        <v>8</v>
      </c>
      <c r="B11" s="1">
        <v>100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</row>
    <row r="12" spans="1:55"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</row>
  </sheetData>
  <conditionalFormatting sqref="E4:BC4">
    <cfRule type="colorScale" priority="2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BC13"/>
  <sheetViews>
    <sheetView tabSelected="1" zoomScale="70" zoomScaleNormal="70" workbookViewId="0">
      <selection activeCell="F9" sqref="F9"/>
    </sheetView>
  </sheetViews>
  <sheetFormatPr defaultColWidth="8.88671875" defaultRowHeight="18"/>
  <cols>
    <col min="1" max="4" width="8.88671875" style="4"/>
    <col min="5" max="5" width="12.109375" style="4" bestFit="1" customWidth="1"/>
    <col min="6" max="24" width="16.44140625" style="4" bestFit="1" customWidth="1"/>
    <col min="25" max="26" width="16.109375" style="4" bestFit="1" customWidth="1"/>
    <col min="27" max="28" width="16.44140625" style="4" bestFit="1" customWidth="1"/>
    <col min="29" max="54" width="15" style="4" bestFit="1" customWidth="1"/>
    <col min="55" max="55" width="9.6640625" style="4" bestFit="1" customWidth="1"/>
    <col min="56" max="16384" width="8.88671875" style="4"/>
  </cols>
  <sheetData>
    <row r="1" spans="1:55">
      <c r="A1" s="1" t="s">
        <v>0</v>
      </c>
      <c r="B1" s="1">
        <v>0.1</v>
      </c>
    </row>
    <row r="2" spans="1:55">
      <c r="A2" s="1" t="s">
        <v>1</v>
      </c>
      <c r="B2" s="2">
        <f>B1/50</f>
        <v>2E-3</v>
      </c>
      <c r="D2" s="4" t="s">
        <v>10</v>
      </c>
      <c r="E2" s="17">
        <v>1</v>
      </c>
      <c r="F2" s="17">
        <v>2</v>
      </c>
      <c r="G2" s="17">
        <v>3</v>
      </c>
      <c r="H2" s="17">
        <v>4</v>
      </c>
      <c r="I2" s="17">
        <v>5</v>
      </c>
      <c r="J2" s="17">
        <v>6</v>
      </c>
      <c r="K2" s="17">
        <v>7</v>
      </c>
      <c r="L2" s="17">
        <v>8</v>
      </c>
      <c r="M2" s="17">
        <v>9</v>
      </c>
      <c r="N2" s="17">
        <v>10</v>
      </c>
      <c r="O2" s="17">
        <v>11</v>
      </c>
      <c r="P2" s="17">
        <v>12</v>
      </c>
      <c r="Q2" s="17">
        <v>13</v>
      </c>
      <c r="R2" s="17">
        <v>14</v>
      </c>
      <c r="S2" s="17">
        <v>15</v>
      </c>
      <c r="T2" s="6">
        <v>16</v>
      </c>
      <c r="U2" s="6">
        <v>17</v>
      </c>
      <c r="V2" s="6">
        <v>18</v>
      </c>
      <c r="W2" s="6">
        <v>19</v>
      </c>
      <c r="X2" s="6">
        <v>20</v>
      </c>
      <c r="Y2" s="6">
        <v>21</v>
      </c>
      <c r="Z2" s="6">
        <v>22</v>
      </c>
      <c r="AA2" s="6">
        <v>23</v>
      </c>
      <c r="AB2" s="6">
        <v>24</v>
      </c>
      <c r="AC2" s="6">
        <v>25</v>
      </c>
      <c r="AD2" s="6">
        <v>26</v>
      </c>
      <c r="AE2" s="6">
        <v>27</v>
      </c>
      <c r="AF2" s="6">
        <v>28</v>
      </c>
      <c r="AG2" s="6">
        <v>29</v>
      </c>
      <c r="AH2" s="6">
        <v>30</v>
      </c>
      <c r="AI2" s="6">
        <v>31</v>
      </c>
      <c r="AJ2" s="6">
        <v>32</v>
      </c>
      <c r="AK2" s="6">
        <v>33</v>
      </c>
      <c r="AL2" s="6">
        <v>34</v>
      </c>
      <c r="AM2" s="6">
        <v>35</v>
      </c>
      <c r="AN2" s="6">
        <v>36</v>
      </c>
      <c r="AO2" s="6">
        <v>37</v>
      </c>
      <c r="AP2" s="6">
        <v>38</v>
      </c>
      <c r="AQ2" s="6">
        <v>39</v>
      </c>
      <c r="AR2" s="6">
        <v>40</v>
      </c>
      <c r="AS2" s="6">
        <v>41</v>
      </c>
      <c r="AT2" s="6">
        <v>42</v>
      </c>
      <c r="AU2" s="6">
        <v>43</v>
      </c>
      <c r="AV2" s="6">
        <v>44</v>
      </c>
      <c r="AW2" s="6">
        <v>45</v>
      </c>
      <c r="AX2" s="6">
        <v>46</v>
      </c>
      <c r="AY2" s="6">
        <v>47</v>
      </c>
      <c r="AZ2" s="6">
        <v>48</v>
      </c>
      <c r="BA2" s="6">
        <v>49</v>
      </c>
      <c r="BB2" s="6">
        <v>50</v>
      </c>
      <c r="BC2" s="6">
        <v>51</v>
      </c>
    </row>
    <row r="3" spans="1:55">
      <c r="A3" s="1" t="s">
        <v>2</v>
      </c>
      <c r="B3" s="2">
        <f>(B7*B6*B2^2)/(2*B8)</f>
        <v>0.15599999999999997</v>
      </c>
      <c r="D3" s="4" t="s">
        <v>0</v>
      </c>
      <c r="E3" s="7">
        <v>0</v>
      </c>
      <c r="F3" s="7">
        <f>E3+$B$2</f>
        <v>2E-3</v>
      </c>
      <c r="G3" s="7">
        <f t="shared" ref="G3:AI3" si="0">F3+$B$2</f>
        <v>4.0000000000000001E-3</v>
      </c>
      <c r="H3" s="7">
        <f t="shared" si="0"/>
        <v>6.0000000000000001E-3</v>
      </c>
      <c r="I3" s="7">
        <f t="shared" si="0"/>
        <v>8.0000000000000002E-3</v>
      </c>
      <c r="J3" s="7">
        <f t="shared" si="0"/>
        <v>0.01</v>
      </c>
      <c r="K3" s="7">
        <f t="shared" si="0"/>
        <v>1.2E-2</v>
      </c>
      <c r="L3" s="7">
        <f t="shared" si="0"/>
        <v>1.4E-2</v>
      </c>
      <c r="M3" s="7">
        <f t="shared" si="0"/>
        <v>1.6E-2</v>
      </c>
      <c r="N3" s="7">
        <f t="shared" si="0"/>
        <v>1.8000000000000002E-2</v>
      </c>
      <c r="O3" s="7">
        <f t="shared" si="0"/>
        <v>2.0000000000000004E-2</v>
      </c>
      <c r="P3" s="7">
        <f t="shared" si="0"/>
        <v>2.2000000000000006E-2</v>
      </c>
      <c r="Q3" s="7">
        <f t="shared" si="0"/>
        <v>2.4000000000000007E-2</v>
      </c>
      <c r="R3" s="7">
        <f t="shared" si="0"/>
        <v>2.6000000000000009E-2</v>
      </c>
      <c r="S3" s="7">
        <f t="shared" si="0"/>
        <v>2.8000000000000011E-2</v>
      </c>
      <c r="T3" s="7">
        <f t="shared" si="0"/>
        <v>3.0000000000000013E-2</v>
      </c>
      <c r="U3" s="7">
        <f t="shared" si="0"/>
        <v>3.2000000000000015E-2</v>
      </c>
      <c r="V3" s="7">
        <f t="shared" si="0"/>
        <v>3.4000000000000016E-2</v>
      </c>
      <c r="W3" s="7">
        <f t="shared" si="0"/>
        <v>3.6000000000000018E-2</v>
      </c>
      <c r="X3" s="7">
        <f t="shared" si="0"/>
        <v>3.800000000000002E-2</v>
      </c>
      <c r="Y3" s="7">
        <f t="shared" si="0"/>
        <v>4.0000000000000022E-2</v>
      </c>
      <c r="Z3" s="7">
        <f t="shared" si="0"/>
        <v>4.2000000000000023E-2</v>
      </c>
      <c r="AA3" s="7">
        <f t="shared" si="0"/>
        <v>4.4000000000000025E-2</v>
      </c>
      <c r="AB3" s="7">
        <f t="shared" si="0"/>
        <v>4.6000000000000027E-2</v>
      </c>
      <c r="AC3" s="7">
        <f t="shared" si="0"/>
        <v>4.8000000000000029E-2</v>
      </c>
      <c r="AD3" s="7">
        <f t="shared" si="0"/>
        <v>5.0000000000000031E-2</v>
      </c>
      <c r="AE3" s="7">
        <f t="shared" si="0"/>
        <v>5.2000000000000032E-2</v>
      </c>
      <c r="AF3" s="7">
        <f t="shared" si="0"/>
        <v>5.4000000000000034E-2</v>
      </c>
      <c r="AG3" s="7">
        <f t="shared" si="0"/>
        <v>5.6000000000000036E-2</v>
      </c>
      <c r="AH3" s="7">
        <f t="shared" si="0"/>
        <v>5.8000000000000038E-2</v>
      </c>
      <c r="AI3" s="7">
        <f t="shared" si="0"/>
        <v>6.0000000000000039E-2</v>
      </c>
      <c r="AJ3" s="7">
        <f t="shared" ref="AJ3" si="1">AI3+$B$2</f>
        <v>6.2000000000000041E-2</v>
      </c>
      <c r="AK3" s="7">
        <f t="shared" ref="AK3" si="2">AJ3+$B$2</f>
        <v>6.4000000000000043E-2</v>
      </c>
      <c r="AL3" s="7">
        <f t="shared" ref="AL3" si="3">AK3+$B$2</f>
        <v>6.6000000000000045E-2</v>
      </c>
      <c r="AM3" s="7">
        <f t="shared" ref="AM3" si="4">AL3+$B$2</f>
        <v>6.8000000000000047E-2</v>
      </c>
      <c r="AN3" s="7">
        <f t="shared" ref="AN3" si="5">AM3+$B$2</f>
        <v>7.0000000000000048E-2</v>
      </c>
      <c r="AO3" s="7">
        <f t="shared" ref="AO3" si="6">AN3+$B$2</f>
        <v>7.200000000000005E-2</v>
      </c>
      <c r="AP3" s="7">
        <f t="shared" ref="AP3" si="7">AO3+$B$2</f>
        <v>7.4000000000000052E-2</v>
      </c>
      <c r="AQ3" s="7">
        <f t="shared" ref="AQ3" si="8">AP3+$B$2</f>
        <v>7.6000000000000054E-2</v>
      </c>
      <c r="AR3" s="7">
        <f t="shared" ref="AR3" si="9">AQ3+$B$2</f>
        <v>7.8000000000000055E-2</v>
      </c>
      <c r="AS3" s="7">
        <f t="shared" ref="AS3" si="10">AR3+$B$2</f>
        <v>8.0000000000000057E-2</v>
      </c>
      <c r="AT3" s="7">
        <f t="shared" ref="AT3" si="11">AS3+$B$2</f>
        <v>8.2000000000000059E-2</v>
      </c>
      <c r="AU3" s="7">
        <f t="shared" ref="AU3" si="12">AT3+$B$2</f>
        <v>8.4000000000000061E-2</v>
      </c>
      <c r="AV3" s="7">
        <f t="shared" ref="AV3" si="13">AU3+$B$2</f>
        <v>8.6000000000000063E-2</v>
      </c>
      <c r="AW3" s="7">
        <f t="shared" ref="AW3" si="14">AV3+$B$2</f>
        <v>8.8000000000000064E-2</v>
      </c>
      <c r="AX3" s="7">
        <f t="shared" ref="AX3" si="15">AW3+$B$2</f>
        <v>9.0000000000000066E-2</v>
      </c>
      <c r="AY3" s="7">
        <f t="shared" ref="AY3" si="16">AX3+$B$2</f>
        <v>9.2000000000000068E-2</v>
      </c>
      <c r="AZ3" s="7">
        <f t="shared" ref="AZ3" si="17">AY3+$B$2</f>
        <v>9.400000000000007E-2</v>
      </c>
      <c r="BA3" s="7">
        <f t="shared" ref="BA3" si="18">AZ3+$B$2</f>
        <v>9.6000000000000071E-2</v>
      </c>
      <c r="BB3" s="7">
        <f t="shared" ref="BB3" si="19">BA3+$B$2</f>
        <v>9.8000000000000073E-2</v>
      </c>
      <c r="BC3" s="7">
        <f t="shared" ref="BC3" si="20">BB3+$B$2</f>
        <v>0.10000000000000007</v>
      </c>
    </row>
    <row r="4" spans="1:55">
      <c r="A4" s="1" t="s">
        <v>3</v>
      </c>
      <c r="B4" s="1">
        <v>5000</v>
      </c>
      <c r="C4" s="4">
        <v>1496.9759999999997</v>
      </c>
      <c r="D4" s="4" t="s">
        <v>11</v>
      </c>
      <c r="E4" s="8">
        <f>B10</f>
        <v>300</v>
      </c>
      <c r="F4" s="7">
        <v>295.99999990652606</v>
      </c>
      <c r="G4" s="7">
        <v>291.999999813052</v>
      </c>
      <c r="H4" s="7">
        <v>287.99999972105229</v>
      </c>
      <c r="I4" s="7">
        <v>283.99999962905235</v>
      </c>
      <c r="J4" s="7">
        <v>279.99999953997769</v>
      </c>
      <c r="K4" s="7">
        <v>275.99999945090281</v>
      </c>
      <c r="L4" s="7">
        <v>271.99999936615791</v>
      </c>
      <c r="M4" s="7">
        <v>267.99999928141278</v>
      </c>
      <c r="N4" s="7">
        <v>263.99999920233415</v>
      </c>
      <c r="O4" s="7">
        <v>259.99999912325535</v>
      </c>
      <c r="P4" s="7">
        <v>255.9999990510901</v>
      </c>
      <c r="Q4" s="7">
        <v>251.99999897892468</v>
      </c>
      <c r="R4" s="7">
        <v>247.99999891481087</v>
      </c>
      <c r="S4" s="7">
        <v>243.99999885069695</v>
      </c>
      <c r="T4" s="7">
        <v>239.99999879564575</v>
      </c>
      <c r="U4" s="7">
        <v>235.99999874059444</v>
      </c>
      <c r="V4" s="7">
        <v>231.99999869547403</v>
      </c>
      <c r="W4" s="7">
        <v>227.99999865035352</v>
      </c>
      <c r="X4" s="7">
        <v>223.99999861587548</v>
      </c>
      <c r="Y4" s="7">
        <v>219.99999858139731</v>
      </c>
      <c r="Z4" s="7">
        <v>215.99999855810535</v>
      </c>
      <c r="AA4" s="7">
        <v>211.9999985348133</v>
      </c>
      <c r="AB4" s="7">
        <v>207.99999852307479</v>
      </c>
      <c r="AC4" s="7">
        <v>203.99999851133617</v>
      </c>
      <c r="AD4" s="7">
        <v>199.99999851133623</v>
      </c>
      <c r="AE4" s="7">
        <v>195.99999851133617</v>
      </c>
      <c r="AF4" s="7">
        <v>191.99999852307479</v>
      </c>
      <c r="AG4" s="7">
        <v>187.9999985348133</v>
      </c>
      <c r="AH4" s="7">
        <v>183.99999855810532</v>
      </c>
      <c r="AI4" s="7">
        <v>179.99999858139731</v>
      </c>
      <c r="AJ4" s="7">
        <v>175.99999861587543</v>
      </c>
      <c r="AK4" s="7">
        <v>171.99999865035352</v>
      </c>
      <c r="AL4" s="7">
        <v>167.99999869547398</v>
      </c>
      <c r="AM4" s="7">
        <v>163.99999874059444</v>
      </c>
      <c r="AN4" s="7">
        <v>159.99999879564569</v>
      </c>
      <c r="AO4" s="7">
        <v>155.99999885069695</v>
      </c>
      <c r="AP4" s="7">
        <v>151.99999891481079</v>
      </c>
      <c r="AQ4" s="7">
        <v>147.99999897892462</v>
      </c>
      <c r="AR4" s="7">
        <v>143.99999905108996</v>
      </c>
      <c r="AS4" s="7">
        <v>139.99999912325529</v>
      </c>
      <c r="AT4" s="7">
        <v>135.99999920233404</v>
      </c>
      <c r="AU4" s="7">
        <v>131.99999928141276</v>
      </c>
      <c r="AV4" s="7">
        <v>127.99999936615775</v>
      </c>
      <c r="AW4" s="7">
        <v>123.99999945090275</v>
      </c>
      <c r="AX4" s="7">
        <v>119.99999953997755</v>
      </c>
      <c r="AY4" s="7">
        <v>115.99999962905235</v>
      </c>
      <c r="AZ4" s="7">
        <v>111.99999972105221</v>
      </c>
      <c r="BA4" s="7">
        <v>107.99999981305204</v>
      </c>
      <c r="BB4" s="7">
        <v>103.99999990652603</v>
      </c>
      <c r="BC4" s="7">
        <f>B11</f>
        <v>100</v>
      </c>
    </row>
    <row r="5" spans="1:55">
      <c r="A5" s="3"/>
      <c r="B5" s="3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5" ht="20.399999999999999">
      <c r="A6" s="1" t="s">
        <v>4</v>
      </c>
      <c r="B6" s="1">
        <v>460</v>
      </c>
      <c r="D6" s="4" t="s">
        <v>12</v>
      </c>
      <c r="E6" s="7"/>
      <c r="F6" s="9">
        <f>F4+(($B$8*$B$3)/($B$7*$B$6))*((G4-2*F4+E4)/($B$2^2))</f>
        <v>295.999999906526</v>
      </c>
      <c r="G6" s="9">
        <f t="shared" ref="G6:BB6" si="21">G4+(($B$8*$B$3)/($B$7*$B$6))*((H4-2*G4+F4)/($B$2^2))</f>
        <v>291.99999981378915</v>
      </c>
      <c r="H6" s="9">
        <f t="shared" si="21"/>
        <v>287.99999972105218</v>
      </c>
      <c r="I6" s="9">
        <f t="shared" si="21"/>
        <v>283.99999963051499</v>
      </c>
      <c r="J6" s="9">
        <f t="shared" si="21"/>
        <v>279.99999953997758</v>
      </c>
      <c r="K6" s="9">
        <f t="shared" si="21"/>
        <v>275.9999994530678</v>
      </c>
      <c r="L6" s="9">
        <f t="shared" si="21"/>
        <v>271.99999936615779</v>
      </c>
      <c r="M6" s="9">
        <f t="shared" si="21"/>
        <v>267.99999928424603</v>
      </c>
      <c r="N6" s="9">
        <f t="shared" si="21"/>
        <v>263.99999920233404</v>
      </c>
      <c r="O6" s="9">
        <f t="shared" si="21"/>
        <v>259.99999912671211</v>
      </c>
      <c r="P6" s="9">
        <f t="shared" si="21"/>
        <v>255.99999905109001</v>
      </c>
      <c r="Q6" s="9">
        <f t="shared" si="21"/>
        <v>251.9999989829505</v>
      </c>
      <c r="R6" s="9">
        <f t="shared" si="21"/>
        <v>247.99999891481082</v>
      </c>
      <c r="S6" s="9">
        <f t="shared" si="21"/>
        <v>243.99999885522831</v>
      </c>
      <c r="T6" s="9">
        <f t="shared" si="21"/>
        <v>239.99999879564569</v>
      </c>
      <c r="U6" s="9">
        <f t="shared" si="21"/>
        <v>235.99999874555988</v>
      </c>
      <c r="V6" s="9">
        <f t="shared" si="21"/>
        <v>231.99999869547398</v>
      </c>
      <c r="W6" s="9">
        <f t="shared" si="21"/>
        <v>227.99999865567474</v>
      </c>
      <c r="X6" s="9">
        <f t="shared" si="21"/>
        <v>223.99999861587543</v>
      </c>
      <c r="Y6" s="9">
        <f t="shared" si="21"/>
        <v>219.99999858699042</v>
      </c>
      <c r="Z6" s="9">
        <f t="shared" si="21"/>
        <v>215.99999855810529</v>
      </c>
      <c r="AA6" s="9">
        <f t="shared" si="21"/>
        <v>211.99999854059007</v>
      </c>
      <c r="AB6" s="9">
        <f t="shared" si="21"/>
        <v>207.99999852307474</v>
      </c>
      <c r="AC6" s="9">
        <f t="shared" si="21"/>
        <v>203.99999851720551</v>
      </c>
      <c r="AD6" s="9">
        <f t="shared" si="21"/>
        <v>199.99999851133617</v>
      </c>
      <c r="AE6" s="9">
        <f t="shared" si="21"/>
        <v>195.99999851720551</v>
      </c>
      <c r="AF6" s="9">
        <f t="shared" si="21"/>
        <v>191.99999852307474</v>
      </c>
      <c r="AG6" s="9">
        <f t="shared" si="21"/>
        <v>187.99999854059007</v>
      </c>
      <c r="AH6" s="9">
        <f t="shared" si="21"/>
        <v>183.99999855810529</v>
      </c>
      <c r="AI6" s="9">
        <f t="shared" si="21"/>
        <v>179.99999858699039</v>
      </c>
      <c r="AJ6" s="9">
        <f t="shared" si="21"/>
        <v>175.99999861587543</v>
      </c>
      <c r="AK6" s="9">
        <f t="shared" si="21"/>
        <v>171.99999865567469</v>
      </c>
      <c r="AL6" s="9">
        <f t="shared" si="21"/>
        <v>167.99999869547398</v>
      </c>
      <c r="AM6" s="9">
        <f t="shared" si="21"/>
        <v>163.99999874555982</v>
      </c>
      <c r="AN6" s="9">
        <f t="shared" si="21"/>
        <v>159.99999879564569</v>
      </c>
      <c r="AO6" s="9">
        <f t="shared" si="21"/>
        <v>155.99999885522823</v>
      </c>
      <c r="AP6" s="9">
        <f t="shared" si="21"/>
        <v>151.99999891481079</v>
      </c>
      <c r="AQ6" s="9">
        <f t="shared" si="21"/>
        <v>147.99999898295039</v>
      </c>
      <c r="AR6" s="9">
        <f t="shared" si="21"/>
        <v>143.99999905108996</v>
      </c>
      <c r="AS6" s="9">
        <f t="shared" si="21"/>
        <v>139.999999126712</v>
      </c>
      <c r="AT6" s="9">
        <f t="shared" si="21"/>
        <v>135.99999920233404</v>
      </c>
      <c r="AU6" s="9">
        <f t="shared" si="21"/>
        <v>131.99999928424589</v>
      </c>
      <c r="AV6" s="9">
        <f t="shared" si="21"/>
        <v>127.99999936615775</v>
      </c>
      <c r="AW6" s="9">
        <f t="shared" si="21"/>
        <v>123.99999945306766</v>
      </c>
      <c r="AX6" s="9">
        <f t="shared" si="21"/>
        <v>119.99999953997755</v>
      </c>
      <c r="AY6" s="9">
        <f t="shared" si="21"/>
        <v>115.99999963051488</v>
      </c>
      <c r="AZ6" s="9">
        <f t="shared" si="21"/>
        <v>111.99999972105221</v>
      </c>
      <c r="BA6" s="9">
        <f t="shared" si="21"/>
        <v>107.99999981378912</v>
      </c>
      <c r="BB6" s="9">
        <f t="shared" si="21"/>
        <v>103.99999990652603</v>
      </c>
      <c r="BC6" s="9"/>
    </row>
    <row r="7" spans="1:55" ht="20.399999999999999">
      <c r="A7" s="3" t="s">
        <v>5</v>
      </c>
      <c r="B7" s="1">
        <v>7800</v>
      </c>
      <c r="D7" s="4" t="s">
        <v>13</v>
      </c>
      <c r="E7" s="10">
        <v>92000</v>
      </c>
      <c r="F7" s="8">
        <f>-$B$8*((F4-E4)/$B$2)</f>
        <v>92000.002149900698</v>
      </c>
      <c r="G7" s="11">
        <f t="shared" ref="G7:BB7" si="22">-$B$8*((G4-F4)/$B$2)</f>
        <v>92000.002149903303</v>
      </c>
      <c r="H7" s="11">
        <f t="shared" si="22"/>
        <v>92000.002115993309</v>
      </c>
      <c r="I7" s="11">
        <f t="shared" si="22"/>
        <v>92000.002115998534</v>
      </c>
      <c r="J7" s="11">
        <f t="shared" si="22"/>
        <v>92000.002048717186</v>
      </c>
      <c r="K7" s="11">
        <f t="shared" si="22"/>
        <v>92000.002048722425</v>
      </c>
      <c r="L7" s="11">
        <f t="shared" si="22"/>
        <v>92000.001949132638</v>
      </c>
      <c r="M7" s="11">
        <f t="shared" si="22"/>
        <v>92000.001949137863</v>
      </c>
      <c r="N7" s="11">
        <f t="shared" si="22"/>
        <v>92000.001818808523</v>
      </c>
      <c r="O7" s="11">
        <f t="shared" si="22"/>
        <v>92000.001818812452</v>
      </c>
      <c r="P7" s="11">
        <f t="shared" si="22"/>
        <v>92000.001659800735</v>
      </c>
      <c r="Q7" s="11">
        <f t="shared" si="22"/>
        <v>92000.001659804664</v>
      </c>
      <c r="R7" s="11">
        <f t="shared" si="22"/>
        <v>92000.001474617529</v>
      </c>
      <c r="S7" s="11">
        <f t="shared" si="22"/>
        <v>92000.001474620149</v>
      </c>
      <c r="T7" s="11">
        <f t="shared" si="22"/>
        <v>92000.001266177656</v>
      </c>
      <c r="U7" s="11">
        <f t="shared" si="22"/>
        <v>92000.001266180276</v>
      </c>
      <c r="V7" s="11">
        <f t="shared" si="22"/>
        <v>92000.001037769238</v>
      </c>
      <c r="W7" s="11">
        <f t="shared" si="22"/>
        <v>92000.001037771843</v>
      </c>
      <c r="X7" s="11">
        <f t="shared" si="22"/>
        <v>92000.000792994804</v>
      </c>
      <c r="Y7" s="11">
        <f t="shared" si="22"/>
        <v>92000.000792998064</v>
      </c>
      <c r="Z7" s="11">
        <f t="shared" si="22"/>
        <v>92000.00053571508</v>
      </c>
      <c r="AA7" s="11">
        <f t="shared" si="22"/>
        <v>92000.000535717045</v>
      </c>
      <c r="AB7" s="11">
        <f t="shared" si="22"/>
        <v>92000.000269985656</v>
      </c>
      <c r="AC7" s="11">
        <f t="shared" si="22"/>
        <v>92000.000269988275</v>
      </c>
      <c r="AD7" s="11">
        <f t="shared" si="22"/>
        <v>91999.99999999869</v>
      </c>
      <c r="AE7" s="11">
        <f t="shared" si="22"/>
        <v>92000.00000000131</v>
      </c>
      <c r="AF7" s="11">
        <f t="shared" si="22"/>
        <v>91999.999730011725</v>
      </c>
      <c r="AG7" s="11">
        <f t="shared" si="22"/>
        <v>91999.999730014344</v>
      </c>
      <c r="AH7" s="11">
        <f t="shared" si="22"/>
        <v>91999.999464283595</v>
      </c>
      <c r="AI7" s="11">
        <f t="shared" si="22"/>
        <v>91999.999464284265</v>
      </c>
      <c r="AJ7" s="11">
        <f t="shared" si="22"/>
        <v>91999.999207003231</v>
      </c>
      <c r="AK7" s="11">
        <f t="shared" si="22"/>
        <v>91999.999207003901</v>
      </c>
      <c r="AL7" s="11">
        <f t="shared" si="22"/>
        <v>91999.998962229452</v>
      </c>
      <c r="AM7" s="11">
        <f t="shared" si="22"/>
        <v>91999.998962229452</v>
      </c>
      <c r="AN7" s="11">
        <f t="shared" si="22"/>
        <v>91999.998733821034</v>
      </c>
      <c r="AO7" s="11">
        <f t="shared" si="22"/>
        <v>91999.998733821034</v>
      </c>
      <c r="AP7" s="11">
        <f t="shared" si="22"/>
        <v>91999.998525381801</v>
      </c>
      <c r="AQ7" s="11">
        <f t="shared" si="22"/>
        <v>91999.998525381801</v>
      </c>
      <c r="AR7" s="11">
        <f t="shared" si="22"/>
        <v>91999.9983401973</v>
      </c>
      <c r="AS7" s="11">
        <f t="shared" si="22"/>
        <v>91999.9983401973</v>
      </c>
      <c r="AT7" s="11">
        <f t="shared" si="22"/>
        <v>91999.998181188857</v>
      </c>
      <c r="AU7" s="11">
        <f t="shared" si="22"/>
        <v>91999.998181189512</v>
      </c>
      <c r="AV7" s="11">
        <f t="shared" si="22"/>
        <v>91999.998050865077</v>
      </c>
      <c r="AW7" s="11">
        <f t="shared" si="22"/>
        <v>91999.998050865077</v>
      </c>
      <c r="AX7" s="11">
        <f t="shared" si="22"/>
        <v>91999.99795127954</v>
      </c>
      <c r="AY7" s="11">
        <f t="shared" si="22"/>
        <v>91999.99795127954</v>
      </c>
      <c r="AZ7" s="11">
        <f t="shared" si="22"/>
        <v>91999.997884003416</v>
      </c>
      <c r="BA7" s="11">
        <f t="shared" si="22"/>
        <v>91999.997884003751</v>
      </c>
      <c r="BB7" s="11">
        <f t="shared" si="22"/>
        <v>91999.997850098327</v>
      </c>
      <c r="BC7" s="11"/>
    </row>
    <row r="8" spans="1:55">
      <c r="A8" s="1" t="s">
        <v>6</v>
      </c>
      <c r="B8" s="1">
        <v>46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5"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</row>
    <row r="10" spans="1:55" ht="20.399999999999999">
      <c r="A10" s="1" t="s">
        <v>7</v>
      </c>
      <c r="B10" s="1">
        <v>300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</row>
    <row r="11" spans="1:55" ht="20.399999999999999">
      <c r="A11" s="1" t="s">
        <v>8</v>
      </c>
      <c r="B11" s="1">
        <v>100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</row>
    <row r="12" spans="1:55" ht="20.399999999999999">
      <c r="A12" s="1" t="s">
        <v>9</v>
      </c>
      <c r="B12" s="1">
        <v>92000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</row>
    <row r="13" spans="1:55"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</row>
  </sheetData>
  <conditionalFormatting sqref="E4:BC4">
    <cfRule type="colorScale" priority="1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BC13"/>
  <sheetViews>
    <sheetView zoomScale="85" zoomScaleNormal="85" workbookViewId="0">
      <selection activeCell="F4" sqref="F4:BB4"/>
    </sheetView>
  </sheetViews>
  <sheetFormatPr defaultRowHeight="14.4"/>
  <cols>
    <col min="2" max="2" width="10.109375" bestFit="1" customWidth="1"/>
  </cols>
  <sheetData>
    <row r="1" spans="1:55" ht="18">
      <c r="A1" s="1" t="s">
        <v>0</v>
      </c>
      <c r="B1" s="1">
        <v>0.1</v>
      </c>
    </row>
    <row r="2" spans="1:55" ht="18">
      <c r="A2" s="1" t="s">
        <v>1</v>
      </c>
      <c r="B2" s="2">
        <f>B1/50</f>
        <v>2E-3</v>
      </c>
      <c r="D2" s="4" t="s">
        <v>10</v>
      </c>
      <c r="E2" s="18">
        <v>1</v>
      </c>
      <c r="F2" s="18">
        <v>2</v>
      </c>
      <c r="G2" s="18">
        <v>3</v>
      </c>
      <c r="H2" s="18">
        <v>4</v>
      </c>
      <c r="I2" s="18">
        <v>5</v>
      </c>
      <c r="J2" s="18">
        <v>6</v>
      </c>
      <c r="K2" s="17">
        <v>7</v>
      </c>
      <c r="L2" s="17">
        <v>8</v>
      </c>
      <c r="M2" s="17">
        <v>9</v>
      </c>
      <c r="N2" s="17">
        <v>10</v>
      </c>
      <c r="O2" s="17">
        <v>11</v>
      </c>
      <c r="P2" s="17">
        <v>12</v>
      </c>
      <c r="Q2" s="17">
        <v>13</v>
      </c>
      <c r="R2" s="17">
        <v>14</v>
      </c>
      <c r="S2" s="6">
        <v>15</v>
      </c>
      <c r="T2" s="6">
        <v>16</v>
      </c>
      <c r="U2" s="6">
        <v>17</v>
      </c>
      <c r="V2" s="6">
        <v>18</v>
      </c>
      <c r="W2" s="6">
        <v>19</v>
      </c>
      <c r="X2" s="6">
        <v>20</v>
      </c>
      <c r="Y2" s="6">
        <v>21</v>
      </c>
      <c r="Z2" s="6">
        <v>22</v>
      </c>
      <c r="AA2" s="6">
        <v>23</v>
      </c>
      <c r="AB2" s="6">
        <v>24</v>
      </c>
      <c r="AC2" s="6">
        <v>25</v>
      </c>
      <c r="AD2" s="6">
        <v>26</v>
      </c>
      <c r="AE2" s="6">
        <v>27</v>
      </c>
      <c r="AF2" s="6">
        <v>28</v>
      </c>
      <c r="AG2" s="6">
        <v>29</v>
      </c>
      <c r="AH2" s="6">
        <v>30</v>
      </c>
      <c r="AI2" s="6">
        <v>31</v>
      </c>
      <c r="AJ2" s="6">
        <v>32</v>
      </c>
      <c r="AK2" s="6">
        <v>33</v>
      </c>
      <c r="AL2" s="6">
        <v>34</v>
      </c>
      <c r="AM2" s="6">
        <v>35</v>
      </c>
      <c r="AN2" s="6">
        <v>36</v>
      </c>
      <c r="AO2" s="6">
        <v>37</v>
      </c>
      <c r="AP2" s="6">
        <v>38</v>
      </c>
      <c r="AQ2" s="6">
        <v>39</v>
      </c>
      <c r="AR2" s="6">
        <v>40</v>
      </c>
      <c r="AS2" s="6">
        <v>41</v>
      </c>
      <c r="AT2" s="6">
        <v>42</v>
      </c>
      <c r="AU2" s="6">
        <v>43</v>
      </c>
      <c r="AV2" s="6">
        <v>44</v>
      </c>
      <c r="AW2" s="6">
        <v>45</v>
      </c>
      <c r="AX2" s="6">
        <v>46</v>
      </c>
      <c r="AY2" s="6">
        <v>47</v>
      </c>
      <c r="AZ2" s="6">
        <v>48</v>
      </c>
      <c r="BA2" s="6">
        <v>49</v>
      </c>
      <c r="BB2" s="6">
        <v>50</v>
      </c>
      <c r="BC2" s="20">
        <v>51</v>
      </c>
    </row>
    <row r="3" spans="1:55" ht="18">
      <c r="A3" s="1" t="s">
        <v>2</v>
      </c>
      <c r="B3" s="13">
        <f>(B7*B6*B2^2)/(2*B8)</f>
        <v>0.15599999999999997</v>
      </c>
      <c r="C3" s="14"/>
      <c r="D3" s="4" t="s">
        <v>0</v>
      </c>
      <c r="E3" s="19">
        <f>0</f>
        <v>0</v>
      </c>
      <c r="F3" s="19">
        <f>E3+$B$2</f>
        <v>2E-3</v>
      </c>
      <c r="G3" s="19">
        <f t="shared" ref="G3:BB3" si="0">F3+$B$2</f>
        <v>4.0000000000000001E-3</v>
      </c>
      <c r="H3" s="19">
        <f t="shared" si="0"/>
        <v>6.0000000000000001E-3</v>
      </c>
      <c r="I3" s="19">
        <f t="shared" si="0"/>
        <v>8.0000000000000002E-3</v>
      </c>
      <c r="J3" s="19">
        <f t="shared" si="0"/>
        <v>0.01</v>
      </c>
      <c r="K3" s="7">
        <f t="shared" si="0"/>
        <v>1.2E-2</v>
      </c>
      <c r="L3" s="7">
        <f t="shared" si="0"/>
        <v>1.4E-2</v>
      </c>
      <c r="M3" s="7">
        <f t="shared" si="0"/>
        <v>1.6E-2</v>
      </c>
      <c r="N3" s="7">
        <f t="shared" si="0"/>
        <v>1.8000000000000002E-2</v>
      </c>
      <c r="O3" s="7">
        <f t="shared" si="0"/>
        <v>2.0000000000000004E-2</v>
      </c>
      <c r="P3" s="7">
        <f t="shared" si="0"/>
        <v>2.2000000000000006E-2</v>
      </c>
      <c r="Q3" s="7">
        <f t="shared" si="0"/>
        <v>2.4000000000000007E-2</v>
      </c>
      <c r="R3" s="7">
        <f t="shared" si="0"/>
        <v>2.6000000000000009E-2</v>
      </c>
      <c r="S3" s="7">
        <f t="shared" si="0"/>
        <v>2.8000000000000011E-2</v>
      </c>
      <c r="T3" s="7">
        <f t="shared" si="0"/>
        <v>3.0000000000000013E-2</v>
      </c>
      <c r="U3" s="7">
        <f t="shared" si="0"/>
        <v>3.2000000000000015E-2</v>
      </c>
      <c r="V3" s="7">
        <f t="shared" si="0"/>
        <v>3.4000000000000016E-2</v>
      </c>
      <c r="W3" s="7">
        <f t="shared" si="0"/>
        <v>3.6000000000000018E-2</v>
      </c>
      <c r="X3" s="7">
        <f t="shared" si="0"/>
        <v>3.800000000000002E-2</v>
      </c>
      <c r="Y3" s="7">
        <f t="shared" si="0"/>
        <v>4.0000000000000022E-2</v>
      </c>
      <c r="Z3" s="7">
        <f t="shared" si="0"/>
        <v>4.2000000000000023E-2</v>
      </c>
      <c r="AA3" s="7">
        <f t="shared" si="0"/>
        <v>4.4000000000000025E-2</v>
      </c>
      <c r="AB3" s="7">
        <f t="shared" si="0"/>
        <v>4.6000000000000027E-2</v>
      </c>
      <c r="AC3" s="7">
        <f t="shared" si="0"/>
        <v>4.8000000000000029E-2</v>
      </c>
      <c r="AD3" s="7">
        <f t="shared" si="0"/>
        <v>5.0000000000000031E-2</v>
      </c>
      <c r="AE3" s="7">
        <f t="shared" si="0"/>
        <v>5.2000000000000032E-2</v>
      </c>
      <c r="AF3" s="7">
        <f t="shared" si="0"/>
        <v>5.4000000000000034E-2</v>
      </c>
      <c r="AG3" s="7">
        <f t="shared" si="0"/>
        <v>5.6000000000000036E-2</v>
      </c>
      <c r="AH3" s="7">
        <f t="shared" si="0"/>
        <v>5.8000000000000038E-2</v>
      </c>
      <c r="AI3" s="7">
        <f t="shared" si="0"/>
        <v>6.0000000000000039E-2</v>
      </c>
      <c r="AJ3" s="7">
        <f t="shared" si="0"/>
        <v>6.2000000000000041E-2</v>
      </c>
      <c r="AK3" s="7">
        <f t="shared" si="0"/>
        <v>6.4000000000000043E-2</v>
      </c>
      <c r="AL3" s="7">
        <f t="shared" si="0"/>
        <v>6.6000000000000045E-2</v>
      </c>
      <c r="AM3" s="7">
        <f t="shared" si="0"/>
        <v>6.8000000000000047E-2</v>
      </c>
      <c r="AN3" s="7">
        <f t="shared" si="0"/>
        <v>7.0000000000000048E-2</v>
      </c>
      <c r="AO3" s="7">
        <f t="shared" si="0"/>
        <v>7.200000000000005E-2</v>
      </c>
      <c r="AP3" s="7">
        <f t="shared" si="0"/>
        <v>7.4000000000000052E-2</v>
      </c>
      <c r="AQ3" s="7">
        <f t="shared" si="0"/>
        <v>7.6000000000000054E-2</v>
      </c>
      <c r="AR3" s="7">
        <f t="shared" si="0"/>
        <v>7.8000000000000055E-2</v>
      </c>
      <c r="AS3" s="7">
        <f t="shared" si="0"/>
        <v>8.0000000000000057E-2</v>
      </c>
      <c r="AT3" s="7">
        <f t="shared" si="0"/>
        <v>8.2000000000000059E-2</v>
      </c>
      <c r="AU3" s="7">
        <f t="shared" si="0"/>
        <v>8.4000000000000061E-2</v>
      </c>
      <c r="AV3" s="7">
        <f t="shared" si="0"/>
        <v>8.6000000000000063E-2</v>
      </c>
      <c r="AW3" s="7">
        <f t="shared" si="0"/>
        <v>8.8000000000000064E-2</v>
      </c>
      <c r="AX3" s="7">
        <f t="shared" si="0"/>
        <v>9.0000000000000066E-2</v>
      </c>
      <c r="AY3" s="7">
        <f t="shared" si="0"/>
        <v>9.2000000000000068E-2</v>
      </c>
      <c r="AZ3" s="7">
        <f t="shared" si="0"/>
        <v>9.400000000000007E-2</v>
      </c>
      <c r="BA3" s="7">
        <f t="shared" si="0"/>
        <v>9.6000000000000071E-2</v>
      </c>
      <c r="BB3" s="7">
        <f t="shared" si="0"/>
        <v>9.8000000000000073E-2</v>
      </c>
      <c r="BC3" s="21">
        <f>BB3+$B$2</f>
        <v>0.10000000000000007</v>
      </c>
    </row>
    <row r="4" spans="1:55" ht="18">
      <c r="A4" s="1" t="s">
        <v>3</v>
      </c>
      <c r="B4" s="1">
        <v>300</v>
      </c>
      <c r="C4" s="15">
        <v>300.14399999999995</v>
      </c>
      <c r="D4" s="4" t="s">
        <v>11</v>
      </c>
      <c r="E4" s="19">
        <f>(B12*B10+B8*F4/B2)/(B12+B8/B2)</f>
        <v>466.36797408403118</v>
      </c>
      <c r="F4" s="22">
        <v>456.21005991377166</v>
      </c>
      <c r="G4" s="22">
        <v>446.17484550587858</v>
      </c>
      <c r="H4" s="22">
        <v>436.26725884607777</v>
      </c>
      <c r="I4" s="22">
        <v>426.49242712833541</v>
      </c>
      <c r="J4" s="22">
        <v>416.85490478783947</v>
      </c>
      <c r="K4" s="22">
        <v>407.35981737351204</v>
      </c>
      <c r="L4" s="22">
        <v>398.0113379382089</v>
      </c>
      <c r="M4" s="22">
        <v>388.81457226132011</v>
      </c>
      <c r="N4" s="22">
        <v>379.77330856963044</v>
      </c>
      <c r="O4" s="22">
        <v>370.89261313155941</v>
      </c>
      <c r="P4" s="22">
        <v>362.17589020904234</v>
      </c>
      <c r="Q4" s="22">
        <v>353.62814538495888</v>
      </c>
      <c r="R4" s="22">
        <v>345.25240396756988</v>
      </c>
      <c r="S4" s="22">
        <v>337.05358845276754</v>
      </c>
      <c r="T4" s="22">
        <v>329.03435413221928</v>
      </c>
      <c r="U4" s="22">
        <v>321.19951701218929</v>
      </c>
      <c r="V4" s="22">
        <v>313.55137494178899</v>
      </c>
      <c r="W4" s="22">
        <v>306.09461327575292</v>
      </c>
      <c r="X4" s="22">
        <v>298.83118828310461</v>
      </c>
      <c r="Y4" s="22">
        <v>291.76563000073088</v>
      </c>
      <c r="Z4" s="22">
        <v>284.89957186679356</v>
      </c>
      <c r="AA4" s="22">
        <v>278.23736369392827</v>
      </c>
      <c r="AB4" s="22">
        <v>271.78033727800602</v>
      </c>
      <c r="AC4" s="22">
        <v>265.53263733125726</v>
      </c>
      <c r="AD4" s="22">
        <v>259.49531715027808</v>
      </c>
      <c r="AE4" s="22">
        <v>253.67229177383985</v>
      </c>
      <c r="AF4" s="22">
        <v>248.06436058328842</v>
      </c>
      <c r="AG4" s="22">
        <v>242.67518494588791</v>
      </c>
      <c r="AH4" s="22">
        <v>237.50533582027563</v>
      </c>
      <c r="AI4" s="22">
        <v>232.55819774674029</v>
      </c>
      <c r="AJ4" s="22">
        <v>227.83413912055448</v>
      </c>
      <c r="AK4" s="22">
        <v>223.33624560210339</v>
      </c>
      <c r="AL4" s="22">
        <v>219.06470870851416</v>
      </c>
      <c r="AM4" s="22">
        <v>215.02229451908028</v>
      </c>
      <c r="AN4" s="22">
        <v>211.20904265373449</v>
      </c>
      <c r="AO4" s="22">
        <v>207.62738049669491</v>
      </c>
      <c r="AP4" s="22">
        <v>204.27721953781909</v>
      </c>
      <c r="AQ4" s="22">
        <v>201.16063115841862</v>
      </c>
      <c r="AR4" s="22">
        <v>198.27742079199643</v>
      </c>
      <c r="AS4" s="22">
        <v>195.62928851514647</v>
      </c>
      <c r="AT4" s="22">
        <v>193.21595364463025</v>
      </c>
      <c r="AU4" s="22">
        <v>191.03873183499829</v>
      </c>
      <c r="AV4" s="22">
        <v>189.09727369806276</v>
      </c>
      <c r="AW4" s="22">
        <v>187.39249968848932</v>
      </c>
      <c r="AX4" s="22">
        <v>185.92400625765879</v>
      </c>
      <c r="AY4" s="22">
        <v>184.69231035173701</v>
      </c>
      <c r="AZ4" s="22">
        <v>183.69696565998157</v>
      </c>
      <c r="BA4" s="22">
        <v>182.93807988365447</v>
      </c>
      <c r="BB4" s="22">
        <v>182.41517198869852</v>
      </c>
      <c r="BC4" s="12">
        <f>(B13*B11+B8*BB4/B2)/(B13+B8/B2)</f>
        <v>182.12793734230223</v>
      </c>
    </row>
    <row r="5" spans="1:55" ht="18">
      <c r="A5" s="3"/>
      <c r="B5" s="3"/>
      <c r="C5" s="15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</row>
    <row r="6" spans="1:55" ht="20.399999999999999">
      <c r="A6" s="1" t="s">
        <v>4</v>
      </c>
      <c r="B6" s="1">
        <v>460</v>
      </c>
      <c r="C6" s="15"/>
      <c r="D6" s="14" t="s">
        <v>18</v>
      </c>
      <c r="E6" s="14"/>
      <c r="F6" s="23">
        <f>F4+(($B$8*$B$3)/($B$7*$B$6))*((G4-2*F4+E4)/($B$2^2))</f>
        <v>456.27140979495488</v>
      </c>
      <c r="G6" s="23">
        <f t="shared" ref="G6:BB6" si="1">G4+(($B$8*$B$3)/($B$7*$B$6))*((H4-2*G4+F4)/($B$2^2))</f>
        <v>446.23865937992468</v>
      </c>
      <c r="H6" s="23">
        <f t="shared" si="1"/>
        <v>436.33363631710699</v>
      </c>
      <c r="I6" s="23">
        <f t="shared" si="1"/>
        <v>426.56108181695862</v>
      </c>
      <c r="J6" s="23">
        <f t="shared" si="1"/>
        <v>416.92612225092375</v>
      </c>
      <c r="K6" s="23">
        <f t="shared" si="1"/>
        <v>407.43312136302416</v>
      </c>
      <c r="L6" s="23">
        <f t="shared" si="1"/>
        <v>398.08719481741605</v>
      </c>
      <c r="M6" s="23">
        <f t="shared" si="1"/>
        <v>388.8923232539197</v>
      </c>
      <c r="N6" s="23">
        <f t="shared" si="1"/>
        <v>379.85359269643976</v>
      </c>
      <c r="O6" s="23">
        <f t="shared" si="1"/>
        <v>370.97459938933639</v>
      </c>
      <c r="P6" s="23">
        <f t="shared" si="1"/>
        <v>362.26037925825915</v>
      </c>
      <c r="Q6" s="23">
        <f t="shared" si="1"/>
        <v>353.71414708830611</v>
      </c>
      <c r="R6" s="23">
        <f t="shared" si="1"/>
        <v>345.34086691886318</v>
      </c>
      <c r="S6" s="23">
        <f t="shared" si="1"/>
        <v>337.14337904989458</v>
      </c>
      <c r="T6" s="23">
        <f t="shared" si="1"/>
        <v>329.12655273247844</v>
      </c>
      <c r="U6" s="23">
        <f t="shared" si="1"/>
        <v>321.29286453700411</v>
      </c>
      <c r="V6" s="23">
        <f t="shared" si="1"/>
        <v>313.64706514397108</v>
      </c>
      <c r="W6" s="23">
        <f t="shared" si="1"/>
        <v>306.1912816124468</v>
      </c>
      <c r="X6" s="23">
        <f t="shared" si="1"/>
        <v>298.93012163824187</v>
      </c>
      <c r="Y6" s="23">
        <f t="shared" si="1"/>
        <v>291.86538007494909</v>
      </c>
      <c r="Z6" s="23">
        <f t="shared" si="1"/>
        <v>285.00149684732958</v>
      </c>
      <c r="AA6" s="23">
        <f t="shared" si="1"/>
        <v>278.33995457239979</v>
      </c>
      <c r="AB6" s="23">
        <f t="shared" si="1"/>
        <v>271.88500051259274</v>
      </c>
      <c r="AC6" s="23">
        <f t="shared" si="1"/>
        <v>265.63782721414202</v>
      </c>
      <c r="AD6" s="23">
        <f t="shared" si="1"/>
        <v>259.60246455254855</v>
      </c>
      <c r="AE6" s="23">
        <f t="shared" si="1"/>
        <v>253.77983886678325</v>
      </c>
      <c r="AF6" s="23">
        <f t="shared" si="1"/>
        <v>248.17373835986388</v>
      </c>
      <c r="AG6" s="23">
        <f t="shared" si="1"/>
        <v>242.78484820178201</v>
      </c>
      <c r="AH6" s="23">
        <f t="shared" si="1"/>
        <v>237.6166913463141</v>
      </c>
      <c r="AI6" s="23">
        <f t="shared" si="1"/>
        <v>232.66973747041504</v>
      </c>
      <c r="AJ6" s="23">
        <f t="shared" si="1"/>
        <v>227.94722167442183</v>
      </c>
      <c r="AK6" s="23">
        <f t="shared" si="1"/>
        <v>223.44942391453432</v>
      </c>
      <c r="AL6" s="23">
        <f t="shared" si="1"/>
        <v>219.17927006059182</v>
      </c>
      <c r="AM6" s="23">
        <f t="shared" si="1"/>
        <v>215.13687568112431</v>
      </c>
      <c r="AN6" s="23">
        <f t="shared" si="1"/>
        <v>211.32483750788759</v>
      </c>
      <c r="AO6" s="23">
        <f t="shared" si="1"/>
        <v>207.74313109577679</v>
      </c>
      <c r="AP6" s="23">
        <f t="shared" si="1"/>
        <v>204.39400582755675</v>
      </c>
      <c r="AQ6" s="23">
        <f t="shared" si="1"/>
        <v>201.27732016490776</v>
      </c>
      <c r="AR6" s="23">
        <f t="shared" si="1"/>
        <v>198.39495983678253</v>
      </c>
      <c r="AS6" s="23">
        <f t="shared" si="1"/>
        <v>195.74668721831333</v>
      </c>
      <c r="AT6" s="23">
        <f t="shared" si="1"/>
        <v>193.33401017507236</v>
      </c>
      <c r="AU6" s="23">
        <f t="shared" si="1"/>
        <v>191.15661367134649</v>
      </c>
      <c r="AV6" s="23">
        <f t="shared" si="1"/>
        <v>189.21561576174381</v>
      </c>
      <c r="AW6" s="23">
        <f t="shared" si="1"/>
        <v>187.51063997786076</v>
      </c>
      <c r="AX6" s="23">
        <f t="shared" si="1"/>
        <v>186.04240502011316</v>
      </c>
      <c r="AY6" s="23">
        <f t="shared" si="1"/>
        <v>184.81048595882018</v>
      </c>
      <c r="AZ6" s="23">
        <f t="shared" si="1"/>
        <v>183.81519511769574</v>
      </c>
      <c r="BA6" s="23">
        <f t="shared" si="1"/>
        <v>183.05606882434003</v>
      </c>
      <c r="BB6" s="23">
        <f t="shared" si="1"/>
        <v>182.53300861297834</v>
      </c>
      <c r="BC6" s="23"/>
    </row>
    <row r="7" spans="1:55" ht="20.399999999999999">
      <c r="A7" s="3" t="s">
        <v>5</v>
      </c>
      <c r="B7" s="1">
        <v>7800</v>
      </c>
      <c r="C7" s="15"/>
      <c r="D7" s="15"/>
      <c r="E7" s="14"/>
    </row>
    <row r="8" spans="1:55" ht="18">
      <c r="A8" s="1" t="s">
        <v>6</v>
      </c>
      <c r="B8" s="1">
        <v>46</v>
      </c>
      <c r="C8" s="15"/>
      <c r="D8" s="14"/>
      <c r="E8" s="14"/>
    </row>
    <row r="9" spans="1:55">
      <c r="C9" s="15"/>
      <c r="D9" s="14"/>
      <c r="E9" s="14"/>
    </row>
    <row r="10" spans="1:55" ht="20.399999999999999">
      <c r="A10" s="1" t="s">
        <v>14</v>
      </c>
      <c r="B10" s="1">
        <v>700</v>
      </c>
      <c r="C10" s="15"/>
      <c r="D10" s="14"/>
      <c r="E10" s="14"/>
    </row>
    <row r="11" spans="1:55" ht="20.399999999999999">
      <c r="A11" s="1" t="s">
        <v>15</v>
      </c>
      <c r="B11" s="1">
        <v>50</v>
      </c>
      <c r="C11" s="15"/>
      <c r="D11" s="15"/>
      <c r="E11" s="14"/>
    </row>
    <row r="12" spans="1:55" ht="20.399999999999999">
      <c r="A12" s="1" t="s">
        <v>16</v>
      </c>
      <c r="B12" s="1">
        <v>1000</v>
      </c>
      <c r="C12" s="15"/>
      <c r="D12" s="14"/>
      <c r="E12" s="14"/>
    </row>
    <row r="13" spans="1:55" ht="20.399999999999999">
      <c r="A13" s="1" t="s">
        <v>17</v>
      </c>
      <c r="B13" s="1">
        <v>50</v>
      </c>
      <c r="C13" s="16"/>
      <c r="D13" s="14"/>
      <c r="E13" s="14"/>
    </row>
  </sheetData>
  <conditionalFormatting sqref="E4">
    <cfRule type="colorScale" priority="2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conditionalFormatting sqref="F4:BC4">
    <cfRule type="colorScale" priority="1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1-ого рода</vt:lpstr>
      <vt:lpstr>ГУ 2-ого рода</vt:lpstr>
      <vt:lpstr>ГУ 3-ого рода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2021-09-17T07:43:05Z</dcterms:created>
  <dcterms:modified xsi:type="dcterms:W3CDTF">2021-10-11T20:46:12Z</dcterms:modified>
</cp:coreProperties>
</file>