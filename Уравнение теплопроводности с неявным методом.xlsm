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0" yWindow="60" windowWidth="22980" windowHeight="9468"/>
  </bookViews>
  <sheets>
    <sheet name="Лист1" sheetId="1" r:id="rId1"/>
  </sheets>
  <calcPr calcId="125725" iterate="1"/>
</workbook>
</file>

<file path=xl/calcChain.xml><?xml version="1.0" encoding="utf-8"?>
<calcChain xmlns="http://schemas.openxmlformats.org/spreadsheetml/2006/main">
  <c r="BB14" i="1"/>
  <c r="BC4" l="1"/>
  <c r="E4"/>
  <c r="BC3"/>
  <c r="E3"/>
  <c r="E7" s="1"/>
  <c r="B2"/>
  <c r="B3" l="1"/>
  <c r="B14" s="1"/>
  <c r="B13"/>
  <c r="F2"/>
  <c r="G2" s="1"/>
  <c r="H2" s="1"/>
  <c r="I2" s="1"/>
  <c r="J2" s="1"/>
  <c r="K2" s="1"/>
  <c r="L2" s="1"/>
  <c r="M2" s="1"/>
  <c r="N2" s="1"/>
  <c r="O2" s="1"/>
  <c r="P2" s="1"/>
  <c r="Q2" s="1"/>
  <c r="R2" s="1"/>
  <c r="S2" s="1"/>
  <c r="T2" s="1"/>
  <c r="U2" s="1"/>
  <c r="V2" s="1"/>
  <c r="W2" s="1"/>
  <c r="X2" s="1"/>
  <c r="Y2" s="1"/>
  <c r="Z2" s="1"/>
  <c r="AA2" s="1"/>
  <c r="AB2" s="1"/>
  <c r="AC2" s="1"/>
  <c r="AD2" s="1"/>
  <c r="AE2" s="1"/>
  <c r="AF2" s="1"/>
  <c r="AG2" s="1"/>
  <c r="AH2" s="1"/>
  <c r="AI2" s="1"/>
  <c r="AJ2" s="1"/>
  <c r="AK2" s="1"/>
  <c r="AL2" s="1"/>
  <c r="AM2" s="1"/>
  <c r="AN2" s="1"/>
  <c r="AO2" s="1"/>
  <c r="AP2" s="1"/>
  <c r="AQ2" s="1"/>
  <c r="AR2" s="1"/>
  <c r="AS2" s="1"/>
  <c r="AT2" s="1"/>
  <c r="AU2" s="1"/>
  <c r="AV2" s="1"/>
  <c r="AW2" s="1"/>
  <c r="AX2" s="1"/>
  <c r="AY2" s="1"/>
  <c r="AZ2" s="1"/>
  <c r="BA2" s="1"/>
  <c r="BB2" s="1"/>
  <c r="BC2" s="1"/>
  <c r="G11" l="1"/>
  <c r="I11"/>
  <c r="K11"/>
  <c r="M11"/>
  <c r="O11"/>
  <c r="Q11"/>
  <c r="S11"/>
  <c r="U11"/>
  <c r="W11"/>
  <c r="Y11"/>
  <c r="AA11"/>
  <c r="AC11"/>
  <c r="AE11"/>
  <c r="AG11"/>
  <c r="AI11"/>
  <c r="AK11"/>
  <c r="AM11"/>
  <c r="AO11"/>
  <c r="AQ11"/>
  <c r="AS11"/>
  <c r="AU11"/>
  <c r="AW11"/>
  <c r="AY11"/>
  <c r="BA11"/>
  <c r="F8"/>
  <c r="H8"/>
  <c r="J8"/>
  <c r="L8"/>
  <c r="N8"/>
  <c r="P8"/>
  <c r="R8"/>
  <c r="T8"/>
  <c r="V8"/>
  <c r="X8"/>
  <c r="Z8"/>
  <c r="AB8"/>
  <c r="AD8"/>
  <c r="AF8"/>
  <c r="AH8"/>
  <c r="AJ8"/>
  <c r="AL8"/>
  <c r="AN8"/>
  <c r="AP8"/>
  <c r="AR8"/>
  <c r="AT8"/>
  <c r="AV8"/>
  <c r="AX8"/>
  <c r="AZ8"/>
  <c r="BB8"/>
  <c r="H11"/>
  <c r="J11"/>
  <c r="L11"/>
  <c r="N11"/>
  <c r="P11"/>
  <c r="R11"/>
  <c r="T11"/>
  <c r="V11"/>
  <c r="X11"/>
  <c r="Z11"/>
  <c r="AB11"/>
  <c r="AD11"/>
  <c r="AF11"/>
  <c r="AH11"/>
  <c r="AJ11"/>
  <c r="AL11"/>
  <c r="AN11"/>
  <c r="AP11"/>
  <c r="AR11"/>
  <c r="AT11"/>
  <c r="AV11"/>
  <c r="AX11"/>
  <c r="AZ11"/>
  <c r="BB11"/>
  <c r="F11"/>
  <c r="G8"/>
  <c r="I8"/>
  <c r="K8"/>
  <c r="M8"/>
  <c r="O8"/>
  <c r="Q8"/>
  <c r="S8"/>
  <c r="U8"/>
  <c r="W8"/>
  <c r="Y8"/>
  <c r="AA8"/>
  <c r="AC8"/>
  <c r="AE8"/>
  <c r="AG8"/>
  <c r="AI8"/>
  <c r="AK8"/>
  <c r="AM8"/>
  <c r="AO8"/>
  <c r="AQ8"/>
  <c r="AS8"/>
  <c r="AU8"/>
  <c r="AW8"/>
  <c r="AY8"/>
  <c r="BA8"/>
  <c r="E8"/>
  <c r="B15"/>
  <c r="F6" s="1"/>
  <c r="G6" s="1"/>
  <c r="H6" s="1"/>
  <c r="I6" s="1"/>
  <c r="J6" s="1"/>
  <c r="K6" s="1"/>
  <c r="L6" s="1"/>
  <c r="M6" s="1"/>
  <c r="N6" s="1"/>
  <c r="O6" s="1"/>
  <c r="P6" s="1"/>
  <c r="Q6" s="1"/>
  <c r="R6" s="1"/>
  <c r="S6" s="1"/>
  <c r="T6" s="1"/>
  <c r="U6" s="1"/>
  <c r="V6" s="1"/>
  <c r="W6" s="1"/>
  <c r="X6" s="1"/>
  <c r="Y6" s="1"/>
  <c r="Z6" s="1"/>
  <c r="AA6" s="1"/>
  <c r="AB6" s="1"/>
  <c r="AC6" s="1"/>
  <c r="AD6" s="1"/>
  <c r="AE6" s="1"/>
  <c r="AF6" s="1"/>
  <c r="AG6" s="1"/>
  <c r="AH6" s="1"/>
  <c r="AI6" s="1"/>
  <c r="AJ6" s="1"/>
  <c r="AK6" s="1"/>
  <c r="AL6" s="1"/>
  <c r="AM6" s="1"/>
  <c r="AN6" s="1"/>
  <c r="AO6" s="1"/>
  <c r="AP6" s="1"/>
  <c r="AQ6" s="1"/>
  <c r="AR6" s="1"/>
  <c r="AS6" s="1"/>
  <c r="AT6" s="1"/>
  <c r="AU6" s="1"/>
  <c r="AV6" s="1"/>
  <c r="AW6" s="1"/>
  <c r="AX6" s="1"/>
  <c r="AY6" s="1"/>
  <c r="AZ6" s="1"/>
  <c r="BA6" s="1"/>
  <c r="BB6" l="1"/>
  <c r="F7"/>
  <c r="G7" s="1"/>
  <c r="H7" s="1"/>
  <c r="I7" s="1"/>
  <c r="J7" s="1"/>
  <c r="K7" s="1"/>
  <c r="L7" s="1"/>
  <c r="M7" s="1"/>
  <c r="N7" s="1"/>
  <c r="O7" s="1"/>
  <c r="P7" s="1"/>
  <c r="Q7" s="1"/>
  <c r="R7" s="1"/>
  <c r="S7" s="1"/>
  <c r="T7" s="1"/>
  <c r="U7" s="1"/>
  <c r="V7" s="1"/>
  <c r="W7" s="1"/>
  <c r="X7" s="1"/>
  <c r="Y7" s="1"/>
  <c r="Z7" s="1"/>
  <c r="AA7" s="1"/>
  <c r="AB7" s="1"/>
  <c r="AC7" s="1"/>
  <c r="AD7" s="1"/>
  <c r="AE7" s="1"/>
  <c r="AF7" s="1"/>
  <c r="AG7" s="1"/>
  <c r="AH7" s="1"/>
  <c r="AI7" s="1"/>
  <c r="AJ7" s="1"/>
  <c r="AK7" s="1"/>
  <c r="AL7" s="1"/>
  <c r="AM7" s="1"/>
  <c r="AN7" s="1"/>
  <c r="AO7" s="1"/>
  <c r="AP7" s="1"/>
  <c r="AQ7" s="1"/>
  <c r="AR7" s="1"/>
  <c r="AS7" s="1"/>
  <c r="AT7" s="1"/>
  <c r="AU7" s="1"/>
  <c r="AV7" s="1"/>
  <c r="AW7" s="1"/>
  <c r="AX7" s="1"/>
  <c r="AY7" s="1"/>
  <c r="AZ7" s="1"/>
  <c r="BA7" s="1"/>
  <c r="BB7" s="1"/>
  <c r="BB10" l="1"/>
  <c r="BA10" s="1"/>
  <c r="AZ10" s="1"/>
  <c r="AY10" s="1"/>
  <c r="AX10" s="1"/>
  <c r="AW10" s="1"/>
  <c r="AV10" s="1"/>
  <c r="AU10" s="1"/>
  <c r="AT10" s="1"/>
  <c r="AS10" s="1"/>
  <c r="AR10" s="1"/>
  <c r="AQ10" s="1"/>
  <c r="AP10" s="1"/>
  <c r="AO10" s="1"/>
  <c r="AN10" s="1"/>
  <c r="AM10" s="1"/>
  <c r="AL10" s="1"/>
  <c r="AK10" s="1"/>
  <c r="AJ10" s="1"/>
  <c r="AI10" s="1"/>
  <c r="AH10" s="1"/>
  <c r="AG10" s="1"/>
  <c r="AF10" s="1"/>
  <c r="AE10" s="1"/>
  <c r="AD10" s="1"/>
  <c r="AC10" s="1"/>
  <c r="AB10" s="1"/>
  <c r="AA10" s="1"/>
  <c r="Z10" s="1"/>
  <c r="Y10" s="1"/>
  <c r="X10" s="1"/>
  <c r="W10" s="1"/>
  <c r="V10" s="1"/>
  <c r="U10" s="1"/>
  <c r="T10" s="1"/>
  <c r="S10" s="1"/>
  <c r="R10" s="1"/>
  <c r="Q10" s="1"/>
  <c r="P10" s="1"/>
  <c r="O10" s="1"/>
  <c r="N10" s="1"/>
  <c r="M10" s="1"/>
  <c r="L10" s="1"/>
  <c r="K10" s="1"/>
  <c r="J10" s="1"/>
  <c r="I10" s="1"/>
  <c r="H10" s="1"/>
  <c r="G10" s="1"/>
  <c r="F10" s="1"/>
</calcChain>
</file>

<file path=xl/sharedStrings.xml><?xml version="1.0" encoding="utf-8"?>
<sst xmlns="http://schemas.openxmlformats.org/spreadsheetml/2006/main" count="21" uniqueCount="20">
  <si>
    <t>L</t>
  </si>
  <si>
    <t>dx</t>
  </si>
  <si>
    <t>dt</t>
  </si>
  <si>
    <t>t</t>
  </si>
  <si>
    <r>
      <t>C</t>
    </r>
    <r>
      <rPr>
        <vertAlign val="subscript"/>
        <sz val="14"/>
        <color theme="1"/>
        <rFont val="Times New Roman"/>
        <family val="1"/>
        <charset val="204"/>
      </rPr>
      <t>p</t>
    </r>
  </si>
  <si>
    <r>
      <t>ρ</t>
    </r>
    <r>
      <rPr>
        <vertAlign val="subscript"/>
        <sz val="14"/>
        <color theme="1"/>
        <rFont val="Times New Roman"/>
        <family val="1"/>
        <charset val="204"/>
      </rPr>
      <t>0</t>
    </r>
  </si>
  <si>
    <t>λ</t>
  </si>
  <si>
    <r>
      <t>T</t>
    </r>
    <r>
      <rPr>
        <vertAlign val="subscript"/>
        <sz val="14"/>
        <color theme="1"/>
        <rFont val="Times New Roman"/>
        <family val="1"/>
        <charset val="204"/>
      </rPr>
      <t>start</t>
    </r>
  </si>
  <si>
    <r>
      <t>T</t>
    </r>
    <r>
      <rPr>
        <vertAlign val="subscript"/>
        <sz val="14"/>
        <color theme="1"/>
        <rFont val="Times New Roman"/>
        <family val="1"/>
        <charset val="204"/>
      </rPr>
      <t>end</t>
    </r>
  </si>
  <si>
    <t>N</t>
  </si>
  <si>
    <t>Tнеяв</t>
  </si>
  <si>
    <t>Тяв</t>
  </si>
  <si>
    <t>alpha_iter</t>
  </si>
  <si>
    <t>beta_iter</t>
  </si>
  <si>
    <t>A</t>
  </si>
  <si>
    <t>B</t>
  </si>
  <si>
    <t>C</t>
  </si>
  <si>
    <r>
      <t>T</t>
    </r>
    <r>
      <rPr>
        <sz val="10"/>
        <color theme="1"/>
        <rFont val="Times New Roman"/>
        <family val="1"/>
        <charset val="204"/>
      </rPr>
      <t>iterяв</t>
    </r>
  </si>
  <si>
    <t>T_iterнеяв</t>
  </si>
  <si>
    <t>F</t>
  </si>
</sst>
</file>

<file path=xl/styles.xml><?xml version="1.0" encoding="utf-8"?>
<styleSheet xmlns="http://schemas.openxmlformats.org/spreadsheetml/2006/main">
  <numFmts count="3">
    <numFmt numFmtId="43" formatCode="_-* #,##0.00\ _₽_-;\-* #,##0.00\ _₽_-;_-* &quot;-&quot;??\ _₽_-;_-@_-"/>
    <numFmt numFmtId="164" formatCode="0.000"/>
    <numFmt numFmtId="166" formatCode="0.0000"/>
  </numFmts>
  <fonts count="7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vertAlign val="subscript"/>
      <sz val="14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20"/>
      <color rgb="FF000000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">
    <xf numFmtId="0" fontId="0" fillId="0" borderId="0" xfId="0"/>
    <xf numFmtId="0" fontId="2" fillId="0" borderId="1" xfId="0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164" fontId="2" fillId="0" borderId="0" xfId="0" applyNumberFormat="1" applyFont="1" applyAlignment="1">
      <alignment horizontal="center"/>
    </xf>
    <xf numFmtId="2" fontId="2" fillId="0" borderId="0" xfId="1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6" fontId="0" fillId="0" borderId="0" xfId="0" applyNumberFormat="1" applyAlignment="1">
      <alignment horizontal="center"/>
    </xf>
  </cellXfs>
  <cellStyles count="2">
    <cellStyle name="Обычный" xfId="0" builtinId="0"/>
    <cellStyle name="Финансовый" xfId="1" builtinId="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en-US"/>
              <a:t>T=T(L)</a:t>
            </a:r>
            <a:endParaRPr lang="ru-RU"/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Лист1!$D$3</c:f>
              <c:strCache>
                <c:ptCount val="1"/>
                <c:pt idx="0">
                  <c:v>Tнеяв</c:v>
                </c:pt>
              </c:strCache>
            </c:strRef>
          </c:tx>
          <c:xVal>
            <c:numRef>
              <c:f>Лист1!$E$2:$BC$2</c:f>
              <c:numCache>
                <c:formatCode>0.00</c:formatCode>
                <c:ptCount val="51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1.2E-2</c:v>
                </c:pt>
                <c:pt idx="7">
                  <c:v>1.4E-2</c:v>
                </c:pt>
                <c:pt idx="8">
                  <c:v>1.6E-2</c:v>
                </c:pt>
                <c:pt idx="9">
                  <c:v>1.8000000000000002E-2</c:v>
                </c:pt>
                <c:pt idx="10">
                  <c:v>2.0000000000000004E-2</c:v>
                </c:pt>
                <c:pt idx="11">
                  <c:v>2.2000000000000006E-2</c:v>
                </c:pt>
                <c:pt idx="12">
                  <c:v>2.4000000000000007E-2</c:v>
                </c:pt>
                <c:pt idx="13">
                  <c:v>2.6000000000000009E-2</c:v>
                </c:pt>
                <c:pt idx="14">
                  <c:v>2.8000000000000011E-2</c:v>
                </c:pt>
                <c:pt idx="15">
                  <c:v>3.0000000000000013E-2</c:v>
                </c:pt>
                <c:pt idx="16">
                  <c:v>3.2000000000000015E-2</c:v>
                </c:pt>
                <c:pt idx="17">
                  <c:v>3.4000000000000016E-2</c:v>
                </c:pt>
                <c:pt idx="18">
                  <c:v>3.6000000000000018E-2</c:v>
                </c:pt>
                <c:pt idx="19">
                  <c:v>3.800000000000002E-2</c:v>
                </c:pt>
                <c:pt idx="20">
                  <c:v>4.0000000000000022E-2</c:v>
                </c:pt>
                <c:pt idx="21">
                  <c:v>4.2000000000000023E-2</c:v>
                </c:pt>
                <c:pt idx="22">
                  <c:v>4.4000000000000025E-2</c:v>
                </c:pt>
                <c:pt idx="23">
                  <c:v>4.6000000000000027E-2</c:v>
                </c:pt>
                <c:pt idx="24">
                  <c:v>4.8000000000000029E-2</c:v>
                </c:pt>
                <c:pt idx="25">
                  <c:v>5.0000000000000031E-2</c:v>
                </c:pt>
                <c:pt idx="26">
                  <c:v>5.2000000000000032E-2</c:v>
                </c:pt>
                <c:pt idx="27">
                  <c:v>5.4000000000000034E-2</c:v>
                </c:pt>
                <c:pt idx="28">
                  <c:v>5.6000000000000036E-2</c:v>
                </c:pt>
                <c:pt idx="29">
                  <c:v>5.8000000000000038E-2</c:v>
                </c:pt>
                <c:pt idx="30">
                  <c:v>6.0000000000000039E-2</c:v>
                </c:pt>
                <c:pt idx="31">
                  <c:v>6.2000000000000041E-2</c:v>
                </c:pt>
                <c:pt idx="32">
                  <c:v>6.4000000000000043E-2</c:v>
                </c:pt>
                <c:pt idx="33">
                  <c:v>6.6000000000000045E-2</c:v>
                </c:pt>
                <c:pt idx="34">
                  <c:v>6.8000000000000047E-2</c:v>
                </c:pt>
                <c:pt idx="35">
                  <c:v>7.0000000000000048E-2</c:v>
                </c:pt>
                <c:pt idx="36">
                  <c:v>7.200000000000005E-2</c:v>
                </c:pt>
                <c:pt idx="37">
                  <c:v>7.4000000000000052E-2</c:v>
                </c:pt>
                <c:pt idx="38">
                  <c:v>7.6000000000000054E-2</c:v>
                </c:pt>
                <c:pt idx="39">
                  <c:v>7.8000000000000055E-2</c:v>
                </c:pt>
                <c:pt idx="40">
                  <c:v>8.0000000000000057E-2</c:v>
                </c:pt>
                <c:pt idx="41">
                  <c:v>8.2000000000000059E-2</c:v>
                </c:pt>
                <c:pt idx="42">
                  <c:v>8.4000000000000061E-2</c:v>
                </c:pt>
                <c:pt idx="43">
                  <c:v>8.6000000000000063E-2</c:v>
                </c:pt>
                <c:pt idx="44">
                  <c:v>8.8000000000000064E-2</c:v>
                </c:pt>
                <c:pt idx="45">
                  <c:v>9.0000000000000066E-2</c:v>
                </c:pt>
                <c:pt idx="46">
                  <c:v>9.2000000000000068E-2</c:v>
                </c:pt>
                <c:pt idx="47">
                  <c:v>9.400000000000007E-2</c:v>
                </c:pt>
                <c:pt idx="48">
                  <c:v>9.6000000000000071E-2</c:v>
                </c:pt>
                <c:pt idx="49">
                  <c:v>9.8000000000000073E-2</c:v>
                </c:pt>
                <c:pt idx="50">
                  <c:v>0.10000000000000007</c:v>
                </c:pt>
              </c:numCache>
            </c:numRef>
          </c:xVal>
          <c:yVal>
            <c:numRef>
              <c:f>Лист1!$E$3:$BC$3</c:f>
              <c:numCache>
                <c:formatCode>0.00</c:formatCode>
                <c:ptCount val="51"/>
                <c:pt idx="0">
                  <c:v>300</c:v>
                </c:pt>
                <c:pt idx="1">
                  <c:v>291.43963861698222</c:v>
                </c:pt>
                <c:pt idx="2">
                  <c:v>282.89788967574958</c:v>
                </c:pt>
                <c:pt idx="3">
                  <c:v>274.39328234295988</c:v>
                </c:pt>
                <c:pt idx="4">
                  <c:v>265.94417972296293</c:v>
                </c:pt>
                <c:pt idx="5">
                  <c:v>257.56869704191939</c:v>
                </c:pt>
                <c:pt idx="6">
                  <c:v>249.2846212774478</c:v>
                </c:pt>
                <c:pt idx="7">
                  <c:v>241.10933269450496</c:v>
                </c:pt>
                <c:pt idx="8">
                  <c:v>233.05972873047708</c:v>
                </c:pt>
                <c:pt idx="9">
                  <c:v>225.15215065077726</c:v>
                </c:pt>
                <c:pt idx="10">
                  <c:v>217.40231337090802</c:v>
                </c:pt>
                <c:pt idx="11">
                  <c:v>209.82523881232328</c:v>
                </c:pt>
                <c:pt idx="12">
                  <c:v>202.43519312789329</c:v>
                </c:pt>
                <c:pt idx="13">
                  <c:v>195.24562809878171</c:v>
                </c:pt>
                <c:pt idx="14">
                  <c:v>188.2691269685366</c:v>
                </c:pt>
                <c:pt idx="15">
                  <c:v>181.5173549426631</c:v>
                </c:pt>
                <c:pt idx="16">
                  <c:v>175.00101454336686</c:v>
                </c:pt>
                <c:pt idx="17">
                  <c:v>168.72980597003317</c:v>
                </c:pt>
                <c:pt idx="18">
                  <c:v>162.71239257682194</c:v>
                </c:pt>
                <c:pt idx="19">
                  <c:v>156.95637153998996</c:v>
                </c:pt>
                <c:pt idx="20">
                  <c:v>151.46824974965355</c:v>
                </c:pt>
                <c:pt idx="21">
                  <c:v>146.2534249241055</c:v>
                </c:pt>
                <c:pt idx="22">
                  <c:v>141.31617190989303</c:v>
                </c:pt>
                <c:pt idx="23">
                  <c:v>136.65963409800693</c:v>
                </c:pt>
                <c:pt idx="24">
                  <c:v>132.28581985603597</c:v>
                </c:pt>
                <c:pt idx="25">
                  <c:v>128.19560384827</c:v>
                </c:pt>
                <c:pt idx="26">
                  <c:v>124.38873309071062</c:v>
                </c:pt>
                <c:pt idx="27">
                  <c:v>120.86383756592657</c:v>
                </c:pt>
                <c:pt idx="28">
                  <c:v>117.6184452037899</c:v>
                </c:pt>
                <c:pt idx="29">
                  <c:v>114.64900101840624</c:v>
                </c:pt>
                <c:pt idx="30">
                  <c:v>111.95089017901574</c:v>
                </c:pt>
                <c:pt idx="31">
                  <c:v>109.51846478325233</c:v>
                </c:pt>
                <c:pt idx="32">
                  <c:v>107.34507409481733</c:v>
                </c:pt>
                <c:pt idx="33">
                  <c:v>105.42309800422321</c:v>
                </c:pt>
                <c:pt idx="34">
                  <c:v>103.74398347061806</c:v>
                </c:pt>
                <c:pt idx="35">
                  <c:v>102.2982837046131</c:v>
                </c:pt>
                <c:pt idx="36">
                  <c:v>101.07569985626159</c:v>
                </c:pt>
                <c:pt idx="37">
                  <c:v>100.06512497862204</c:v>
                </c:pt>
                <c:pt idx="38">
                  <c:v>99.254690045396387</c:v>
                </c:pt>
                <c:pt idx="39">
                  <c:v>98.631811810670143</c:v>
                </c:pt>
                <c:pt idx="40">
                  <c:v>98.18324230948835</c:v>
                </c:pt>
                <c:pt idx="41">
                  <c:v>97.895119809568897</c:v>
                </c:pt>
                <c:pt idx="42">
                  <c:v>97.753021036569109</c:v>
                </c:pt>
                <c:pt idx="43">
                  <c:v>97.742014507679272</c:v>
                </c:pt>
                <c:pt idx="44">
                  <c:v>97.846714820618871</c:v>
                </c:pt>
                <c:pt idx="45">
                  <c:v>98.051337757075572</c:v>
                </c:pt>
                <c:pt idx="46">
                  <c:v>98.339756070985487</c:v>
                </c:pt>
                <c:pt idx="47">
                  <c:v>98.695555842564275</c:v>
                </c:pt>
                <c:pt idx="48">
                  <c:v>99.102093288436947</c:v>
                </c:pt>
                <c:pt idx="49">
                  <c:v>99.542551926388541</c:v>
                </c:pt>
                <c:pt idx="50">
                  <c:v>100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Лист1!$D$4</c:f>
              <c:strCache>
                <c:ptCount val="1"/>
                <c:pt idx="0">
                  <c:v>Тяв</c:v>
                </c:pt>
              </c:strCache>
            </c:strRef>
          </c:tx>
          <c:xVal>
            <c:numRef>
              <c:f>Лист1!$E$2:$BC$2</c:f>
              <c:numCache>
                <c:formatCode>0.00</c:formatCode>
                <c:ptCount val="51"/>
                <c:pt idx="0">
                  <c:v>0</c:v>
                </c:pt>
                <c:pt idx="1">
                  <c:v>2E-3</c:v>
                </c:pt>
                <c:pt idx="2">
                  <c:v>4.0000000000000001E-3</c:v>
                </c:pt>
                <c:pt idx="3">
                  <c:v>6.0000000000000001E-3</c:v>
                </c:pt>
                <c:pt idx="4">
                  <c:v>8.0000000000000002E-3</c:v>
                </c:pt>
                <c:pt idx="5">
                  <c:v>0.01</c:v>
                </c:pt>
                <c:pt idx="6">
                  <c:v>1.2E-2</c:v>
                </c:pt>
                <c:pt idx="7">
                  <c:v>1.4E-2</c:v>
                </c:pt>
                <c:pt idx="8">
                  <c:v>1.6E-2</c:v>
                </c:pt>
                <c:pt idx="9">
                  <c:v>1.8000000000000002E-2</c:v>
                </c:pt>
                <c:pt idx="10">
                  <c:v>2.0000000000000004E-2</c:v>
                </c:pt>
                <c:pt idx="11">
                  <c:v>2.2000000000000006E-2</c:v>
                </c:pt>
                <c:pt idx="12">
                  <c:v>2.4000000000000007E-2</c:v>
                </c:pt>
                <c:pt idx="13">
                  <c:v>2.6000000000000009E-2</c:v>
                </c:pt>
                <c:pt idx="14">
                  <c:v>2.8000000000000011E-2</c:v>
                </c:pt>
                <c:pt idx="15">
                  <c:v>3.0000000000000013E-2</c:v>
                </c:pt>
                <c:pt idx="16">
                  <c:v>3.2000000000000015E-2</c:v>
                </c:pt>
                <c:pt idx="17">
                  <c:v>3.4000000000000016E-2</c:v>
                </c:pt>
                <c:pt idx="18">
                  <c:v>3.6000000000000018E-2</c:v>
                </c:pt>
                <c:pt idx="19">
                  <c:v>3.800000000000002E-2</c:v>
                </c:pt>
                <c:pt idx="20">
                  <c:v>4.0000000000000022E-2</c:v>
                </c:pt>
                <c:pt idx="21">
                  <c:v>4.2000000000000023E-2</c:v>
                </c:pt>
                <c:pt idx="22">
                  <c:v>4.4000000000000025E-2</c:v>
                </c:pt>
                <c:pt idx="23">
                  <c:v>4.6000000000000027E-2</c:v>
                </c:pt>
                <c:pt idx="24">
                  <c:v>4.8000000000000029E-2</c:v>
                </c:pt>
                <c:pt idx="25">
                  <c:v>5.0000000000000031E-2</c:v>
                </c:pt>
                <c:pt idx="26">
                  <c:v>5.2000000000000032E-2</c:v>
                </c:pt>
                <c:pt idx="27">
                  <c:v>5.4000000000000034E-2</c:v>
                </c:pt>
                <c:pt idx="28">
                  <c:v>5.6000000000000036E-2</c:v>
                </c:pt>
                <c:pt idx="29">
                  <c:v>5.8000000000000038E-2</c:v>
                </c:pt>
                <c:pt idx="30">
                  <c:v>6.0000000000000039E-2</c:v>
                </c:pt>
                <c:pt idx="31">
                  <c:v>6.2000000000000041E-2</c:v>
                </c:pt>
                <c:pt idx="32">
                  <c:v>6.4000000000000043E-2</c:v>
                </c:pt>
                <c:pt idx="33">
                  <c:v>6.6000000000000045E-2</c:v>
                </c:pt>
                <c:pt idx="34">
                  <c:v>6.8000000000000047E-2</c:v>
                </c:pt>
                <c:pt idx="35">
                  <c:v>7.0000000000000048E-2</c:v>
                </c:pt>
                <c:pt idx="36">
                  <c:v>7.200000000000005E-2</c:v>
                </c:pt>
                <c:pt idx="37">
                  <c:v>7.4000000000000052E-2</c:v>
                </c:pt>
                <c:pt idx="38">
                  <c:v>7.6000000000000054E-2</c:v>
                </c:pt>
                <c:pt idx="39">
                  <c:v>7.8000000000000055E-2</c:v>
                </c:pt>
                <c:pt idx="40">
                  <c:v>8.0000000000000057E-2</c:v>
                </c:pt>
                <c:pt idx="41">
                  <c:v>8.2000000000000059E-2</c:v>
                </c:pt>
                <c:pt idx="42">
                  <c:v>8.4000000000000061E-2</c:v>
                </c:pt>
                <c:pt idx="43">
                  <c:v>8.6000000000000063E-2</c:v>
                </c:pt>
                <c:pt idx="44">
                  <c:v>8.8000000000000064E-2</c:v>
                </c:pt>
                <c:pt idx="45">
                  <c:v>9.0000000000000066E-2</c:v>
                </c:pt>
                <c:pt idx="46">
                  <c:v>9.2000000000000068E-2</c:v>
                </c:pt>
                <c:pt idx="47">
                  <c:v>9.400000000000007E-2</c:v>
                </c:pt>
                <c:pt idx="48">
                  <c:v>9.6000000000000071E-2</c:v>
                </c:pt>
                <c:pt idx="49">
                  <c:v>9.8000000000000073E-2</c:v>
                </c:pt>
                <c:pt idx="50">
                  <c:v>0.10000000000000007</c:v>
                </c:pt>
              </c:numCache>
            </c:numRef>
          </c:xVal>
          <c:yVal>
            <c:numRef>
              <c:f>Лист1!$E$4:$BC$4</c:f>
              <c:numCache>
                <c:formatCode>0.00</c:formatCode>
                <c:ptCount val="51"/>
                <c:pt idx="0">
                  <c:v>300</c:v>
                </c:pt>
                <c:pt idx="1">
                  <c:v>291.44830709007846</c:v>
                </c:pt>
                <c:pt idx="2">
                  <c:v>282.93368408926216</c:v>
                </c:pt>
                <c:pt idx="3">
                  <c:v>274.41906108844648</c:v>
                </c:pt>
                <c:pt idx="4">
                  <c:v>266.01498834845756</c:v>
                </c:pt>
                <c:pt idx="5">
                  <c:v>257.6109156084699</c:v>
                </c:pt>
                <c:pt idx="6">
                  <c:v>249.38891029811143</c:v>
                </c:pt>
                <c:pt idx="7">
                  <c:v>241.16690498775469</c:v>
                </c:pt>
                <c:pt idx="8">
                  <c:v>233.19526246762305</c:v>
                </c:pt>
                <c:pt idx="9">
                  <c:v>225.22361994749366</c:v>
                </c:pt>
                <c:pt idx="10">
                  <c:v>217.56622846598074</c:v>
                </c:pt>
                <c:pt idx="11">
                  <c:v>209.90883698447047</c:v>
                </c:pt>
                <c:pt idx="12">
                  <c:v>202.62409128577602</c:v>
                </c:pt>
                <c:pt idx="13">
                  <c:v>195.33934558708449</c:v>
                </c:pt>
                <c:pt idx="14">
                  <c:v>188.47918153201158</c:v>
                </c:pt>
                <c:pt idx="15">
                  <c:v>181.61901747694179</c:v>
                </c:pt>
                <c:pt idx="16">
                  <c:v>175.22808562463442</c:v>
                </c:pt>
                <c:pt idx="17">
                  <c:v>168.83715377233037</c:v>
                </c:pt>
                <c:pt idx="18">
                  <c:v>162.95214527415303</c:v>
                </c:pt>
                <c:pt idx="19">
                  <c:v>157.06713677597907</c:v>
                </c:pt>
                <c:pt idx="20">
                  <c:v>151.71627012551039</c:v>
                </c:pt>
                <c:pt idx="21">
                  <c:v>146.36540347504507</c:v>
                </c:pt>
                <c:pt idx="22">
                  <c:v>141.56807587518958</c:v>
                </c:pt>
                <c:pt idx="23">
                  <c:v>136.77074827533738</c:v>
                </c:pt>
                <c:pt idx="24">
                  <c:v>132.53735084508591</c:v>
                </c:pt>
                <c:pt idx="25">
                  <c:v>128.30395341483762</c:v>
                </c:pt>
                <c:pt idx="26">
                  <c:v>124.63584535708941</c:v>
                </c:pt>
                <c:pt idx="27">
                  <c:v>120.96773729934425</c:v>
                </c:pt>
                <c:pt idx="28">
                  <c:v>117.85737064237321</c:v>
                </c:pt>
                <c:pt idx="29">
                  <c:v>114.74700398540506</c:v>
                </c:pt>
                <c:pt idx="30">
                  <c:v>112.17818770360908</c:v>
                </c:pt>
                <c:pt idx="31">
                  <c:v>109.60937142181582</c:v>
                </c:pt>
                <c:pt idx="32">
                  <c:v>107.55766169668738</c:v>
                </c:pt>
                <c:pt idx="33">
                  <c:v>105.50595197156146</c:v>
                </c:pt>
                <c:pt idx="34">
                  <c:v>103.93915408206156</c:v>
                </c:pt>
                <c:pt idx="35">
                  <c:v>102.37235619256406</c:v>
                </c:pt>
                <c:pt idx="36">
                  <c:v>101.2511229891777</c:v>
                </c:pt>
                <c:pt idx="37">
                  <c:v>100.12988978579355</c:v>
                </c:pt>
                <c:pt idx="38">
                  <c:v>99.408401827253911</c:v>
                </c:pt>
                <c:pt idx="39">
                  <c:v>98.68691386871626</c:v>
                </c:pt>
                <c:pt idx="40">
                  <c:v>98.31362697414275</c:v>
                </c:pt>
                <c:pt idx="41">
                  <c:v>97.940340079571001</c:v>
                </c:pt>
                <c:pt idx="42">
                  <c:v>97.858787136953723</c:v>
                </c:pt>
                <c:pt idx="43">
                  <c:v>97.777234194337922</c:v>
                </c:pt>
                <c:pt idx="44">
                  <c:v>97.926869420266257</c:v>
                </c:pt>
                <c:pt idx="45">
                  <c:v>98.076504646195744</c:v>
                </c:pt>
                <c:pt idx="46">
                  <c:v>98.393579958869907</c:v>
                </c:pt>
                <c:pt idx="47">
                  <c:v>98.710655271544894</c:v>
                </c:pt>
                <c:pt idx="48">
                  <c:v>99.129119872465608</c:v>
                </c:pt>
                <c:pt idx="49">
                  <c:v>99.547584473386749</c:v>
                </c:pt>
                <c:pt idx="50">
                  <c:v>100</c:v>
                </c:pt>
              </c:numCache>
            </c:numRef>
          </c:yVal>
          <c:smooth val="1"/>
        </c:ser>
        <c:axId val="119916032"/>
        <c:axId val="119914496"/>
      </c:scatterChart>
      <c:valAx>
        <c:axId val="119916032"/>
        <c:scaling>
          <c:orientation val="minMax"/>
          <c:max val="0.1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L,</a:t>
                </a:r>
                <a:r>
                  <a:rPr lang="ru-RU" sz="1400">
                    <a:latin typeface="Times New Roman" pitchFamily="18" charset="0"/>
                    <a:cs typeface="Times New Roman" pitchFamily="18" charset="0"/>
                  </a:rPr>
                  <a:t>м</a:t>
                </a:r>
              </a:p>
            </c:rich>
          </c:tx>
          <c:layout/>
        </c:title>
        <c:numFmt formatCode="0.00" sourceLinked="1"/>
        <c:majorTickMark val="none"/>
        <c:tickLblPos val="nextTo"/>
        <c:crossAx val="119914496"/>
        <c:crosses val="autoZero"/>
        <c:crossBetween val="midCat"/>
        <c:majorUnit val="5.000000000000001E-3"/>
      </c:valAx>
      <c:valAx>
        <c:axId val="119914496"/>
        <c:scaling>
          <c:orientation val="minMax"/>
          <c:max val="300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T,K</a:t>
                </a:r>
                <a:endParaRPr lang="ru-RU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/>
        </c:title>
        <c:numFmt formatCode="0.00" sourceLinked="1"/>
        <c:majorTickMark val="none"/>
        <c:tickLblPos val="nextTo"/>
        <c:crossAx val="119916032"/>
        <c:crosses val="autoZero"/>
        <c:crossBetween val="midCat"/>
        <c:majorUnit val="25"/>
        <c:minorUnit val="5"/>
      </c:valAx>
    </c:plotArea>
    <c:legend>
      <c:legendPos val="r"/>
      <c:legendEntry>
        <c:idx val="0"/>
        <c:txPr>
          <a:bodyPr/>
          <a:lstStyle/>
          <a:p>
            <a:pPr>
              <a:defRPr sz="1400">
                <a:latin typeface="Times New Roman" pitchFamily="18" charset="0"/>
                <a:cs typeface="Times New Roman" pitchFamily="18" charset="0"/>
              </a:defRPr>
            </a:pPr>
            <a:endParaRPr lang="ru-RU"/>
          </a:p>
        </c:txPr>
      </c:legendEntry>
      <c:legendEntry>
        <c:idx val="1"/>
        <c:txPr>
          <a:bodyPr/>
          <a:lstStyle/>
          <a:p>
            <a:pPr>
              <a:defRPr sz="1400">
                <a:latin typeface="Times New Roman" pitchFamily="18" charset="0"/>
                <a:cs typeface="Times New Roman" pitchFamily="18" charset="0"/>
              </a:defRPr>
            </a:pPr>
            <a:endParaRPr lang="ru-RU"/>
          </a:p>
        </c:txPr>
      </c:legendEntry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598713</xdr:colOff>
      <xdr:row>11</xdr:row>
      <xdr:rowOff>97970</xdr:rowOff>
    </xdr:from>
    <xdr:to>
      <xdr:col>21</xdr:col>
      <xdr:colOff>197223</xdr:colOff>
      <xdr:row>46</xdr:row>
      <xdr:rowOff>17930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BD15"/>
  <sheetViews>
    <sheetView tabSelected="1" zoomScale="55" zoomScaleNormal="55" workbookViewId="0">
      <selection activeCell="AF26" sqref="AF26"/>
    </sheetView>
  </sheetViews>
  <sheetFormatPr defaultRowHeight="14.4"/>
  <cols>
    <col min="2" max="2" width="10.77734375" bestFit="1" customWidth="1"/>
    <col min="5" max="5" width="14.21875" bestFit="1" customWidth="1"/>
  </cols>
  <sheetData>
    <row r="1" spans="1:56" ht="18">
      <c r="A1" s="1" t="s">
        <v>0</v>
      </c>
      <c r="B1" s="1">
        <v>0.1</v>
      </c>
      <c r="D1" s="4" t="s">
        <v>9</v>
      </c>
      <c r="E1" s="5">
        <v>1</v>
      </c>
      <c r="F1" s="5">
        <v>2</v>
      </c>
      <c r="G1" s="5">
        <v>3</v>
      </c>
      <c r="H1" s="5">
        <v>4</v>
      </c>
      <c r="I1" s="5">
        <v>5</v>
      </c>
      <c r="J1" s="5">
        <v>6</v>
      </c>
      <c r="K1" s="5">
        <v>7</v>
      </c>
      <c r="L1" s="5">
        <v>8</v>
      </c>
      <c r="M1" s="5">
        <v>9</v>
      </c>
      <c r="N1" s="5">
        <v>10</v>
      </c>
      <c r="O1" s="5">
        <v>11</v>
      </c>
      <c r="P1" s="5">
        <v>12</v>
      </c>
      <c r="Q1" s="5">
        <v>13</v>
      </c>
      <c r="R1" s="5">
        <v>14</v>
      </c>
      <c r="S1" s="5">
        <v>15</v>
      </c>
      <c r="T1" s="6">
        <v>16</v>
      </c>
      <c r="U1" s="6">
        <v>17</v>
      </c>
      <c r="V1" s="6">
        <v>18</v>
      </c>
      <c r="W1" s="6">
        <v>19</v>
      </c>
      <c r="X1" s="6">
        <v>20</v>
      </c>
      <c r="Y1" s="6">
        <v>21</v>
      </c>
      <c r="Z1" s="6">
        <v>22</v>
      </c>
      <c r="AA1" s="6">
        <v>23</v>
      </c>
      <c r="AB1" s="6">
        <v>24</v>
      </c>
      <c r="AC1" s="6">
        <v>25</v>
      </c>
      <c r="AD1" s="6">
        <v>26</v>
      </c>
      <c r="AE1" s="6">
        <v>27</v>
      </c>
      <c r="AF1" s="6">
        <v>28</v>
      </c>
      <c r="AG1" s="6">
        <v>29</v>
      </c>
      <c r="AH1" s="6">
        <v>30</v>
      </c>
      <c r="AI1" s="6">
        <v>31</v>
      </c>
      <c r="AJ1" s="6">
        <v>32</v>
      </c>
      <c r="AK1" s="6">
        <v>33</v>
      </c>
      <c r="AL1" s="6">
        <v>34</v>
      </c>
      <c r="AM1" s="6">
        <v>35</v>
      </c>
      <c r="AN1" s="6">
        <v>36</v>
      </c>
      <c r="AO1" s="6">
        <v>37</v>
      </c>
      <c r="AP1" s="6">
        <v>38</v>
      </c>
      <c r="AQ1" s="6">
        <v>39</v>
      </c>
      <c r="AR1" s="6">
        <v>40</v>
      </c>
      <c r="AS1" s="6">
        <v>41</v>
      </c>
      <c r="AT1" s="6">
        <v>42</v>
      </c>
      <c r="AU1" s="6">
        <v>43</v>
      </c>
      <c r="AV1" s="6">
        <v>44</v>
      </c>
      <c r="AW1" s="6">
        <v>45</v>
      </c>
      <c r="AX1" s="6">
        <v>46</v>
      </c>
      <c r="AY1" s="6">
        <v>47</v>
      </c>
      <c r="AZ1" s="6">
        <v>48</v>
      </c>
      <c r="BA1" s="6">
        <v>49</v>
      </c>
      <c r="BB1" s="6">
        <v>50</v>
      </c>
      <c r="BC1" s="6">
        <v>51</v>
      </c>
    </row>
    <row r="2" spans="1:56" ht="18">
      <c r="A2" s="1" t="s">
        <v>1</v>
      </c>
      <c r="B2" s="2">
        <f>B1/50</f>
        <v>2E-3</v>
      </c>
      <c r="D2" s="4" t="s">
        <v>0</v>
      </c>
      <c r="E2" s="9">
        <v>0</v>
      </c>
      <c r="F2" s="9">
        <f>E2+$B$2</f>
        <v>2E-3</v>
      </c>
      <c r="G2" s="9">
        <f t="shared" ref="G2:BC2" si="0">F2+$B$2</f>
        <v>4.0000000000000001E-3</v>
      </c>
      <c r="H2" s="9">
        <f t="shared" si="0"/>
        <v>6.0000000000000001E-3</v>
      </c>
      <c r="I2" s="9">
        <f t="shared" si="0"/>
        <v>8.0000000000000002E-3</v>
      </c>
      <c r="J2" s="9">
        <f t="shared" si="0"/>
        <v>0.01</v>
      </c>
      <c r="K2" s="9">
        <f t="shared" si="0"/>
        <v>1.2E-2</v>
      </c>
      <c r="L2" s="9">
        <f t="shared" si="0"/>
        <v>1.4E-2</v>
      </c>
      <c r="M2" s="9">
        <f t="shared" si="0"/>
        <v>1.6E-2</v>
      </c>
      <c r="N2" s="9">
        <f t="shared" si="0"/>
        <v>1.8000000000000002E-2</v>
      </c>
      <c r="O2" s="9">
        <f t="shared" si="0"/>
        <v>2.0000000000000004E-2</v>
      </c>
      <c r="P2" s="9">
        <f t="shared" si="0"/>
        <v>2.2000000000000006E-2</v>
      </c>
      <c r="Q2" s="9">
        <f t="shared" si="0"/>
        <v>2.4000000000000007E-2</v>
      </c>
      <c r="R2" s="9">
        <f t="shared" si="0"/>
        <v>2.6000000000000009E-2</v>
      </c>
      <c r="S2" s="9">
        <f t="shared" si="0"/>
        <v>2.8000000000000011E-2</v>
      </c>
      <c r="T2" s="9">
        <f t="shared" si="0"/>
        <v>3.0000000000000013E-2</v>
      </c>
      <c r="U2" s="9">
        <f t="shared" si="0"/>
        <v>3.2000000000000015E-2</v>
      </c>
      <c r="V2" s="9">
        <f t="shared" si="0"/>
        <v>3.4000000000000016E-2</v>
      </c>
      <c r="W2" s="9">
        <f t="shared" si="0"/>
        <v>3.6000000000000018E-2</v>
      </c>
      <c r="X2" s="9">
        <f t="shared" si="0"/>
        <v>3.800000000000002E-2</v>
      </c>
      <c r="Y2" s="9">
        <f t="shared" si="0"/>
        <v>4.0000000000000022E-2</v>
      </c>
      <c r="Z2" s="9">
        <f t="shared" si="0"/>
        <v>4.2000000000000023E-2</v>
      </c>
      <c r="AA2" s="9">
        <f t="shared" si="0"/>
        <v>4.4000000000000025E-2</v>
      </c>
      <c r="AB2" s="9">
        <f t="shared" si="0"/>
        <v>4.6000000000000027E-2</v>
      </c>
      <c r="AC2" s="9">
        <f t="shared" si="0"/>
        <v>4.8000000000000029E-2</v>
      </c>
      <c r="AD2" s="9">
        <f t="shared" si="0"/>
        <v>5.0000000000000031E-2</v>
      </c>
      <c r="AE2" s="9">
        <f t="shared" si="0"/>
        <v>5.2000000000000032E-2</v>
      </c>
      <c r="AF2" s="9">
        <f t="shared" si="0"/>
        <v>5.4000000000000034E-2</v>
      </c>
      <c r="AG2" s="9">
        <f t="shared" si="0"/>
        <v>5.6000000000000036E-2</v>
      </c>
      <c r="AH2" s="9">
        <f t="shared" si="0"/>
        <v>5.8000000000000038E-2</v>
      </c>
      <c r="AI2" s="9">
        <f t="shared" si="0"/>
        <v>6.0000000000000039E-2</v>
      </c>
      <c r="AJ2" s="9">
        <f t="shared" si="0"/>
        <v>6.2000000000000041E-2</v>
      </c>
      <c r="AK2" s="9">
        <f t="shared" si="0"/>
        <v>6.4000000000000043E-2</v>
      </c>
      <c r="AL2" s="9">
        <f t="shared" si="0"/>
        <v>6.6000000000000045E-2</v>
      </c>
      <c r="AM2" s="9">
        <f t="shared" si="0"/>
        <v>6.8000000000000047E-2</v>
      </c>
      <c r="AN2" s="9">
        <f t="shared" si="0"/>
        <v>7.0000000000000048E-2</v>
      </c>
      <c r="AO2" s="9">
        <f t="shared" si="0"/>
        <v>7.200000000000005E-2</v>
      </c>
      <c r="AP2" s="9">
        <f t="shared" si="0"/>
        <v>7.4000000000000052E-2</v>
      </c>
      <c r="AQ2" s="9">
        <f t="shared" si="0"/>
        <v>7.6000000000000054E-2</v>
      </c>
      <c r="AR2" s="9">
        <f t="shared" si="0"/>
        <v>7.8000000000000055E-2</v>
      </c>
      <c r="AS2" s="9">
        <f t="shared" si="0"/>
        <v>8.0000000000000057E-2</v>
      </c>
      <c r="AT2" s="9">
        <f t="shared" si="0"/>
        <v>8.2000000000000059E-2</v>
      </c>
      <c r="AU2" s="9">
        <f t="shared" si="0"/>
        <v>8.4000000000000061E-2</v>
      </c>
      <c r="AV2" s="9">
        <f t="shared" si="0"/>
        <v>8.6000000000000063E-2</v>
      </c>
      <c r="AW2" s="9">
        <f t="shared" si="0"/>
        <v>8.8000000000000064E-2</v>
      </c>
      <c r="AX2" s="9">
        <f t="shared" si="0"/>
        <v>9.0000000000000066E-2</v>
      </c>
      <c r="AY2" s="9">
        <f t="shared" si="0"/>
        <v>9.2000000000000068E-2</v>
      </c>
      <c r="AZ2" s="9">
        <f t="shared" si="0"/>
        <v>9.400000000000007E-2</v>
      </c>
      <c r="BA2" s="9">
        <f t="shared" si="0"/>
        <v>9.6000000000000071E-2</v>
      </c>
      <c r="BB2" s="9">
        <f t="shared" si="0"/>
        <v>9.8000000000000073E-2</v>
      </c>
      <c r="BC2" s="9">
        <f t="shared" si="0"/>
        <v>0.10000000000000007</v>
      </c>
    </row>
    <row r="3" spans="1:56" ht="18">
      <c r="A3" s="1" t="s">
        <v>2</v>
      </c>
      <c r="B3" s="2">
        <f>(B7*B6*B2^2)/(2*B8)</f>
        <v>0.15599999999999997</v>
      </c>
      <c r="D3" s="4" t="s">
        <v>10</v>
      </c>
      <c r="E3" s="8">
        <f>B10</f>
        <v>300</v>
      </c>
      <c r="F3" s="9">
        <v>291.43963861698222</v>
      </c>
      <c r="G3" s="9">
        <v>282.89788967574958</v>
      </c>
      <c r="H3" s="9">
        <v>274.39328234295988</v>
      </c>
      <c r="I3" s="9">
        <v>265.94417972296293</v>
      </c>
      <c r="J3" s="9">
        <v>257.56869704191939</v>
      </c>
      <c r="K3" s="9">
        <v>249.2846212774478</v>
      </c>
      <c r="L3" s="9">
        <v>241.10933269450496</v>
      </c>
      <c r="M3" s="9">
        <v>233.05972873047708</v>
      </c>
      <c r="N3" s="9">
        <v>225.15215065077726</v>
      </c>
      <c r="O3" s="9">
        <v>217.40231337090802</v>
      </c>
      <c r="P3" s="9">
        <v>209.82523881232328</v>
      </c>
      <c r="Q3" s="9">
        <v>202.43519312789329</v>
      </c>
      <c r="R3" s="9">
        <v>195.24562809878171</v>
      </c>
      <c r="S3" s="9">
        <v>188.2691269685366</v>
      </c>
      <c r="T3" s="9">
        <v>181.5173549426631</v>
      </c>
      <c r="U3" s="9">
        <v>175.00101454336686</v>
      </c>
      <c r="V3" s="9">
        <v>168.72980597003317</v>
      </c>
      <c r="W3" s="9">
        <v>162.71239257682194</v>
      </c>
      <c r="X3" s="9">
        <v>156.95637153998996</v>
      </c>
      <c r="Y3" s="9">
        <v>151.46824974965355</v>
      </c>
      <c r="Z3" s="9">
        <v>146.2534249241055</v>
      </c>
      <c r="AA3" s="9">
        <v>141.31617190989303</v>
      </c>
      <c r="AB3" s="9">
        <v>136.65963409800693</v>
      </c>
      <c r="AC3" s="9">
        <v>132.28581985603597</v>
      </c>
      <c r="AD3" s="9">
        <v>128.19560384827</v>
      </c>
      <c r="AE3" s="9">
        <v>124.38873309071062</v>
      </c>
      <c r="AF3" s="9">
        <v>120.86383756592657</v>
      </c>
      <c r="AG3" s="9">
        <v>117.6184452037899</v>
      </c>
      <c r="AH3" s="9">
        <v>114.64900101840624</v>
      </c>
      <c r="AI3" s="9">
        <v>111.95089017901574</v>
      </c>
      <c r="AJ3" s="9">
        <v>109.51846478325233</v>
      </c>
      <c r="AK3" s="9">
        <v>107.34507409481733</v>
      </c>
      <c r="AL3" s="9">
        <v>105.42309800422321</v>
      </c>
      <c r="AM3" s="9">
        <v>103.74398347061806</v>
      </c>
      <c r="AN3" s="9">
        <v>102.2982837046131</v>
      </c>
      <c r="AO3" s="9">
        <v>101.07569985626159</v>
      </c>
      <c r="AP3" s="9">
        <v>100.06512497862204</v>
      </c>
      <c r="AQ3" s="9">
        <v>99.254690045396387</v>
      </c>
      <c r="AR3" s="9">
        <v>98.631811810670143</v>
      </c>
      <c r="AS3" s="9">
        <v>98.18324230948835</v>
      </c>
      <c r="AT3" s="9">
        <v>97.895119809568897</v>
      </c>
      <c r="AU3" s="9">
        <v>97.753021036569109</v>
      </c>
      <c r="AV3" s="9">
        <v>97.742014507679272</v>
      </c>
      <c r="AW3" s="9">
        <v>97.846714820618871</v>
      </c>
      <c r="AX3" s="9">
        <v>98.051337757075572</v>
      </c>
      <c r="AY3" s="9">
        <v>98.339756070985487</v>
      </c>
      <c r="AZ3" s="9">
        <v>98.695555842564275</v>
      </c>
      <c r="BA3" s="9">
        <v>99.102093288436947</v>
      </c>
      <c r="BB3" s="9">
        <v>99.542551926388541</v>
      </c>
      <c r="BC3" s="9">
        <f>B11</f>
        <v>100</v>
      </c>
    </row>
    <row r="4" spans="1:56" ht="18">
      <c r="A4" s="1" t="s">
        <v>3</v>
      </c>
      <c r="B4" s="1">
        <v>100</v>
      </c>
      <c r="C4">
        <v>100.15199999999999</v>
      </c>
      <c r="D4" s="4" t="s">
        <v>11</v>
      </c>
      <c r="E4" s="8">
        <f>B10</f>
        <v>300</v>
      </c>
      <c r="F4" s="9">
        <v>291.44830709007846</v>
      </c>
      <c r="G4" s="9">
        <v>282.93368408926216</v>
      </c>
      <c r="H4" s="9">
        <v>274.41906108844648</v>
      </c>
      <c r="I4" s="9">
        <v>266.01498834845756</v>
      </c>
      <c r="J4" s="9">
        <v>257.6109156084699</v>
      </c>
      <c r="K4" s="9">
        <v>249.38891029811143</v>
      </c>
      <c r="L4" s="9">
        <v>241.16690498775469</v>
      </c>
      <c r="M4" s="9">
        <v>233.19526246762305</v>
      </c>
      <c r="N4" s="9">
        <v>225.22361994749366</v>
      </c>
      <c r="O4" s="9">
        <v>217.56622846598074</v>
      </c>
      <c r="P4" s="9">
        <v>209.90883698447047</v>
      </c>
      <c r="Q4" s="9">
        <v>202.62409128577602</v>
      </c>
      <c r="R4" s="9">
        <v>195.33934558708449</v>
      </c>
      <c r="S4" s="9">
        <v>188.47918153201158</v>
      </c>
      <c r="T4" s="9">
        <v>181.61901747694179</v>
      </c>
      <c r="U4" s="9">
        <v>175.22808562463442</v>
      </c>
      <c r="V4" s="9">
        <v>168.83715377233037</v>
      </c>
      <c r="W4" s="9">
        <v>162.95214527415303</v>
      </c>
      <c r="X4" s="9">
        <v>157.06713677597907</v>
      </c>
      <c r="Y4" s="9">
        <v>151.71627012551039</v>
      </c>
      <c r="Z4" s="9">
        <v>146.36540347504507</v>
      </c>
      <c r="AA4" s="9">
        <v>141.56807587518958</v>
      </c>
      <c r="AB4" s="9">
        <v>136.77074827533738</v>
      </c>
      <c r="AC4" s="9">
        <v>132.53735084508591</v>
      </c>
      <c r="AD4" s="9">
        <v>128.30395341483762</v>
      </c>
      <c r="AE4" s="9">
        <v>124.63584535708941</v>
      </c>
      <c r="AF4" s="9">
        <v>120.96773729934425</v>
      </c>
      <c r="AG4" s="9">
        <v>117.85737064237321</v>
      </c>
      <c r="AH4" s="9">
        <v>114.74700398540506</v>
      </c>
      <c r="AI4" s="9">
        <v>112.17818770360908</v>
      </c>
      <c r="AJ4" s="9">
        <v>109.60937142181582</v>
      </c>
      <c r="AK4" s="9">
        <v>107.55766169668738</v>
      </c>
      <c r="AL4" s="9">
        <v>105.50595197156146</v>
      </c>
      <c r="AM4" s="9">
        <v>103.93915408206156</v>
      </c>
      <c r="AN4" s="9">
        <v>102.37235619256406</v>
      </c>
      <c r="AO4" s="9">
        <v>101.2511229891777</v>
      </c>
      <c r="AP4" s="9">
        <v>100.12988978579355</v>
      </c>
      <c r="AQ4" s="9">
        <v>99.408401827253911</v>
      </c>
      <c r="AR4" s="9">
        <v>98.68691386871626</v>
      </c>
      <c r="AS4" s="9">
        <v>98.31362697414275</v>
      </c>
      <c r="AT4" s="9">
        <v>97.940340079571001</v>
      </c>
      <c r="AU4" s="9">
        <v>97.858787136953723</v>
      </c>
      <c r="AV4" s="9">
        <v>97.777234194337922</v>
      </c>
      <c r="AW4" s="9">
        <v>97.926869420266257</v>
      </c>
      <c r="AX4" s="9">
        <v>98.076504646195744</v>
      </c>
      <c r="AY4" s="9">
        <v>98.393579958869907</v>
      </c>
      <c r="AZ4" s="9">
        <v>98.710655271544894</v>
      </c>
      <c r="BA4" s="9">
        <v>99.129119872465608</v>
      </c>
      <c r="BB4" s="9">
        <v>99.547584473386749</v>
      </c>
      <c r="BC4" s="9">
        <f>B11</f>
        <v>100</v>
      </c>
    </row>
    <row r="5" spans="1:56" ht="18">
      <c r="A5" s="3"/>
      <c r="B5" s="3"/>
    </row>
    <row r="6" spans="1:56" ht="20.399999999999999">
      <c r="A6" s="1" t="s">
        <v>4</v>
      </c>
      <c r="B6" s="1">
        <v>460</v>
      </c>
      <c r="D6" s="10" t="s">
        <v>12</v>
      </c>
      <c r="E6" s="11">
        <v>0</v>
      </c>
      <c r="F6" s="13">
        <f>$B$13/($B$14-$B$15*E6)</f>
        <v>0.25</v>
      </c>
      <c r="G6" s="13">
        <f t="shared" ref="G6:BB6" si="1">$B$13/($B$14-$B$15*F6)</f>
        <v>0.26666666666666666</v>
      </c>
      <c r="H6" s="13">
        <f t="shared" si="1"/>
        <v>0.26785714285714285</v>
      </c>
      <c r="I6" s="13">
        <f t="shared" si="1"/>
        <v>0.26794258373205743</v>
      </c>
      <c r="J6" s="13">
        <f t="shared" si="1"/>
        <v>0.26794871794871794</v>
      </c>
      <c r="K6" s="13">
        <f t="shared" si="1"/>
        <v>0.26794915836482308</v>
      </c>
      <c r="L6" s="13">
        <f t="shared" si="1"/>
        <v>0.26794918998527245</v>
      </c>
      <c r="M6" s="13">
        <f t="shared" si="1"/>
        <v>0.26794919225551855</v>
      </c>
      <c r="N6" s="13">
        <f t="shared" si="1"/>
        <v>0.26794919241851489</v>
      </c>
      <c r="O6" s="13">
        <f t="shared" si="1"/>
        <v>0.26794919243021753</v>
      </c>
      <c r="P6" s="13">
        <f t="shared" si="1"/>
        <v>0.26794919243105775</v>
      </c>
      <c r="Q6" s="13">
        <f t="shared" si="1"/>
        <v>0.26794919243111803</v>
      </c>
      <c r="R6" s="13">
        <f t="shared" si="1"/>
        <v>0.26794919243112236</v>
      </c>
      <c r="S6" s="13">
        <f t="shared" si="1"/>
        <v>0.26794919243112264</v>
      </c>
      <c r="T6" s="13">
        <f t="shared" si="1"/>
        <v>0.2679491924311227</v>
      </c>
      <c r="U6" s="13">
        <f t="shared" si="1"/>
        <v>0.2679491924311227</v>
      </c>
      <c r="V6" s="13">
        <f t="shared" si="1"/>
        <v>0.2679491924311227</v>
      </c>
      <c r="W6" s="13">
        <f t="shared" si="1"/>
        <v>0.2679491924311227</v>
      </c>
      <c r="X6" s="13">
        <f t="shared" si="1"/>
        <v>0.2679491924311227</v>
      </c>
      <c r="Y6" s="13">
        <f t="shared" si="1"/>
        <v>0.2679491924311227</v>
      </c>
      <c r="Z6" s="13">
        <f t="shared" si="1"/>
        <v>0.2679491924311227</v>
      </c>
      <c r="AA6" s="13">
        <f t="shared" si="1"/>
        <v>0.2679491924311227</v>
      </c>
      <c r="AB6" s="13">
        <f t="shared" si="1"/>
        <v>0.2679491924311227</v>
      </c>
      <c r="AC6" s="13">
        <f t="shared" si="1"/>
        <v>0.2679491924311227</v>
      </c>
      <c r="AD6" s="13">
        <f t="shared" si="1"/>
        <v>0.2679491924311227</v>
      </c>
      <c r="AE6" s="13">
        <f t="shared" si="1"/>
        <v>0.2679491924311227</v>
      </c>
      <c r="AF6" s="13">
        <f t="shared" si="1"/>
        <v>0.2679491924311227</v>
      </c>
      <c r="AG6" s="13">
        <f t="shared" si="1"/>
        <v>0.2679491924311227</v>
      </c>
      <c r="AH6" s="13">
        <f t="shared" si="1"/>
        <v>0.2679491924311227</v>
      </c>
      <c r="AI6" s="13">
        <f t="shared" si="1"/>
        <v>0.2679491924311227</v>
      </c>
      <c r="AJ6" s="13">
        <f t="shared" si="1"/>
        <v>0.2679491924311227</v>
      </c>
      <c r="AK6" s="13">
        <f t="shared" si="1"/>
        <v>0.2679491924311227</v>
      </c>
      <c r="AL6" s="13">
        <f t="shared" si="1"/>
        <v>0.2679491924311227</v>
      </c>
      <c r="AM6" s="13">
        <f t="shared" si="1"/>
        <v>0.2679491924311227</v>
      </c>
      <c r="AN6" s="13">
        <f t="shared" si="1"/>
        <v>0.2679491924311227</v>
      </c>
      <c r="AO6" s="13">
        <f t="shared" si="1"/>
        <v>0.2679491924311227</v>
      </c>
      <c r="AP6" s="13">
        <f t="shared" si="1"/>
        <v>0.2679491924311227</v>
      </c>
      <c r="AQ6" s="13">
        <f t="shared" si="1"/>
        <v>0.2679491924311227</v>
      </c>
      <c r="AR6" s="13">
        <f t="shared" si="1"/>
        <v>0.2679491924311227</v>
      </c>
      <c r="AS6" s="13">
        <f t="shared" si="1"/>
        <v>0.2679491924311227</v>
      </c>
      <c r="AT6" s="13">
        <f t="shared" si="1"/>
        <v>0.2679491924311227</v>
      </c>
      <c r="AU6" s="13">
        <f t="shared" si="1"/>
        <v>0.2679491924311227</v>
      </c>
      <c r="AV6" s="13">
        <f t="shared" si="1"/>
        <v>0.2679491924311227</v>
      </c>
      <c r="AW6" s="13">
        <f t="shared" si="1"/>
        <v>0.2679491924311227</v>
      </c>
      <c r="AX6" s="13">
        <f t="shared" si="1"/>
        <v>0.2679491924311227</v>
      </c>
      <c r="AY6" s="13">
        <f t="shared" si="1"/>
        <v>0.2679491924311227</v>
      </c>
      <c r="AZ6" s="13">
        <f t="shared" si="1"/>
        <v>0.2679491924311227</v>
      </c>
      <c r="BA6" s="13">
        <f t="shared" si="1"/>
        <v>0.2679491924311227</v>
      </c>
      <c r="BB6" s="13">
        <f t="shared" si="1"/>
        <v>0.2679491924311227</v>
      </c>
      <c r="BC6" s="11"/>
      <c r="BD6" s="11"/>
    </row>
    <row r="7" spans="1:56" ht="20.399999999999999">
      <c r="A7" s="3" t="s">
        <v>5</v>
      </c>
      <c r="B7" s="1">
        <v>7800</v>
      </c>
      <c r="D7" s="12" t="s">
        <v>13</v>
      </c>
      <c r="E7" s="11">
        <f>E3</f>
        <v>300</v>
      </c>
      <c r="F7" s="11">
        <f>(E7*$B$15-F8)/($B$14-$B$15*E6)</f>
        <v>220.71981930849114</v>
      </c>
      <c r="G7" s="11">
        <f t="shared" ref="G7:BB7" si="2">(F7*$B$15-G8)/($B$14-$B$15*F6)</f>
        <v>209.73749297599744</v>
      </c>
      <c r="H7" s="11">
        <f t="shared" si="2"/>
        <v>203.17608687372783</v>
      </c>
      <c r="I7" s="11">
        <f t="shared" si="2"/>
        <v>196.95506695646225</v>
      </c>
      <c r="J7" s="11">
        <f t="shared" si="2"/>
        <v>190.80426199669608</v>
      </c>
      <c r="K7" s="11">
        <f t="shared" si="2"/>
        <v>184.71705034360755</v>
      </c>
      <c r="L7" s="11">
        <f t="shared" si="2"/>
        <v>178.70488480280281</v>
      </c>
      <c r="M7" s="11">
        <f t="shared" si="2"/>
        <v>172.78016165626974</v>
      </c>
      <c r="N7" s="11">
        <f t="shared" si="2"/>
        <v>166.95497865807306</v>
      </c>
      <c r="O7" s="11">
        <f t="shared" si="2"/>
        <v>161.24100030402667</v>
      </c>
      <c r="P7" s="11">
        <f t="shared" si="2"/>
        <v>155.6494024010716</v>
      </c>
      <c r="Q7" s="11">
        <f t="shared" si="2"/>
        <v>150.19082471226611</v>
      </c>
      <c r="R7" s="11">
        <f t="shared" si="2"/>
        <v>144.87532694176761</v>
      </c>
      <c r="S7" s="11">
        <f t="shared" si="2"/>
        <v>139.71234791910527</v>
      </c>
      <c r="T7" s="11">
        <f t="shared" si="2"/>
        <v>134.71066813582038</v>
      </c>
      <c r="U7" s="11">
        <f t="shared" si="2"/>
        <v>129.87837578189468</v>
      </c>
      <c r="V7" s="11">
        <f t="shared" si="2"/>
        <v>125.2228364024854</v>
      </c>
      <c r="W7" s="11">
        <f t="shared" si="2"/>
        <v>120.75066626697105</v>
      </c>
      <c r="X7" s="11">
        <f t="shared" si="2"/>
        <v>116.46770951387404</v>
      </c>
      <c r="Y7" s="11">
        <f t="shared" si="2"/>
        <v>112.37901910729569</v>
      </c>
      <c r="Z7" s="11">
        <f t="shared" si="2"/>
        <v>108.48884161340139</v>
      </c>
      <c r="AA7" s="11">
        <f t="shared" si="2"/>
        <v>104.80060577952598</v>
      </c>
      <c r="AB7" s="11">
        <f t="shared" si="2"/>
        <v>101.31691487390381</v>
      </c>
      <c r="AC7" s="11">
        <f t="shared" si="2"/>
        <v>98.039542721102976</v>
      </c>
      <c r="AD7" s="11">
        <f t="shared" si="2"/>
        <v>94.969433347164255</v>
      </c>
      <c r="AE7" s="11">
        <f t="shared" si="2"/>
        <v>92.10670412938677</v>
      </c>
      <c r="AF7" s="11">
        <f t="shared" si="2"/>
        <v>89.450652328794391</v>
      </c>
      <c r="AG7" s="11">
        <f t="shared" si="2"/>
        <v>86.999764868657124</v>
      </c>
      <c r="AH7" s="11">
        <f t="shared" si="2"/>
        <v>84.751731210088082</v>
      </c>
      <c r="AI7" s="11">
        <f t="shared" si="2"/>
        <v>82.703459165707841</v>
      </c>
      <c r="AJ7" s="11">
        <f t="shared" si="2"/>
        <v>80.851093484649383</v>
      </c>
      <c r="AK7" s="11">
        <f t="shared" si="2"/>
        <v>79.19003703671568</v>
      </c>
      <c r="AL7" s="11">
        <f t="shared" si="2"/>
        <v>77.714974420216095</v>
      </c>
      <c r="AM7" s="11">
        <f t="shared" si="2"/>
        <v>76.419897816781983</v>
      </c>
      <c r="AN7" s="11">
        <f t="shared" si="2"/>
        <v>75.298134917157583</v>
      </c>
      <c r="AO7" s="11">
        <f t="shared" si="2"/>
        <v>74.342378744413779</v>
      </c>
      <c r="AP7" s="11">
        <f t="shared" si="2"/>
        <v>73.544719205056637</v>
      </c>
      <c r="AQ7" s="11">
        <f t="shared" si="2"/>
        <v>72.896676203899332</v>
      </c>
      <c r="AR7" s="11">
        <f t="shared" si="2"/>
        <v>72.389234165122957</v>
      </c>
      <c r="AS7" s="11">
        <f t="shared" si="2"/>
        <v>72.012877809445413</v>
      </c>
      <c r="AT7" s="11">
        <f t="shared" si="2"/>
        <v>71.757629045526002</v>
      </c>
      <c r="AU7" s="11">
        <f t="shared" si="2"/>
        <v>71.613084842423262</v>
      </c>
      <c r="AV7" s="11">
        <f t="shared" si="2"/>
        <v>71.568455958876285</v>
      </c>
      <c r="AW7" s="11">
        <f t="shared" si="2"/>
        <v>71.612606414169662</v>
      </c>
      <c r="AX7" s="11">
        <f t="shared" si="2"/>
        <v>71.734093594163909</v>
      </c>
      <c r="AY7" s="11">
        <f t="shared" si="2"/>
        <v>71.921208894523119</v>
      </c>
      <c r="AZ7" s="11">
        <f t="shared" si="2"/>
        <v>72.162018811069302</v>
      </c>
      <c r="BA7" s="11">
        <f t="shared" si="2"/>
        <v>72.444406394366453</v>
      </c>
      <c r="BB7" s="11">
        <f t="shared" si="2"/>
        <v>72.75611299194037</v>
      </c>
      <c r="BC7" s="11"/>
      <c r="BD7" s="11"/>
    </row>
    <row r="8" spans="1:56" ht="18">
      <c r="A8" s="1" t="s">
        <v>6</v>
      </c>
      <c r="B8" s="1">
        <v>46</v>
      </c>
      <c r="D8" s="3" t="s">
        <v>19</v>
      </c>
      <c r="E8" s="3">
        <f>-(($B$7*$B$6)/$B$3)*E3</f>
        <v>-6900000000.000001</v>
      </c>
      <c r="F8" s="3">
        <f>-(($B$7*$B$6)/$B$3)*F3</f>
        <v>-6703111688.1905918</v>
      </c>
      <c r="G8" s="3">
        <f>-(($B$7*$B$6)/$B$3)*G3</f>
        <v>-6506651462.5422411</v>
      </c>
      <c r="H8" s="3">
        <f>-(($B$7*$B$6)/$B$3)*H3</f>
        <v>-6311045493.8880787</v>
      </c>
      <c r="I8" s="3">
        <f>-(($B$7*$B$6)/$B$3)*I3</f>
        <v>-6116716133.6281481</v>
      </c>
      <c r="J8" s="3">
        <f>-(($B$7*$B$6)/$B$3)*J3</f>
        <v>-5924080031.9641466</v>
      </c>
      <c r="K8" s="3">
        <f>-(($B$7*$B$6)/$B$3)*K3</f>
        <v>-5733546289.3813</v>
      </c>
      <c r="L8" s="3">
        <f>-(($B$7*$B$6)/$B$3)*L3</f>
        <v>-5545514651.9736147</v>
      </c>
      <c r="M8" s="3">
        <f>-(($B$7*$B$6)/$B$3)*M3</f>
        <v>-5360373760.8009739</v>
      </c>
      <c r="N8" s="3">
        <f>-(($B$7*$B$6)/$B$3)*N3</f>
        <v>-5178499464.9678774</v>
      </c>
      <c r="O8" s="3">
        <f>-(($B$7*$B$6)/$B$3)*O3</f>
        <v>-5000253207.5308857</v>
      </c>
      <c r="P8" s="3">
        <f>-(($B$7*$B$6)/$B$3)*P3</f>
        <v>-4825980492.6834364</v>
      </c>
      <c r="Q8" s="3">
        <f>-(($B$7*$B$6)/$B$3)*Q3</f>
        <v>-4656009441.9415464</v>
      </c>
      <c r="R8" s="3">
        <f>-(($B$7*$B$6)/$B$3)*R3</f>
        <v>-4490649446.2719803</v>
      </c>
      <c r="S8" s="3">
        <f>-(($B$7*$B$6)/$B$3)*S3</f>
        <v>-4330189920.2763424</v>
      </c>
      <c r="T8" s="3">
        <f>-(($B$7*$B$6)/$B$3)*T3</f>
        <v>-4174899163.681252</v>
      </c>
      <c r="U8" s="3">
        <f>-(($B$7*$B$6)/$B$3)*U3</f>
        <v>-4025023334.4974384</v>
      </c>
      <c r="V8" s="3">
        <f>-(($B$7*$B$6)/$B$3)*V3</f>
        <v>-3880785537.3107634</v>
      </c>
      <c r="W8" s="3">
        <f>-(($B$7*$B$6)/$B$3)*W3</f>
        <v>-3742385029.2669053</v>
      </c>
      <c r="X8" s="3">
        <f>-(($B$7*$B$6)/$B$3)*X3</f>
        <v>-3609996545.4197698</v>
      </c>
      <c r="Y8" s="3">
        <f>-(($B$7*$B$6)/$B$3)*Y3</f>
        <v>-3483769744.2420321</v>
      </c>
      <c r="Z8" s="3">
        <f>-(($B$7*$B$6)/$B$3)*Z3</f>
        <v>-3363828773.254427</v>
      </c>
      <c r="AA8" s="3">
        <f>-(($B$7*$B$6)/$B$3)*AA3</f>
        <v>-3250271953.9275403</v>
      </c>
      <c r="AB8" s="3">
        <f>-(($B$7*$B$6)/$B$3)*AB3</f>
        <v>-3143171584.2541599</v>
      </c>
      <c r="AC8" s="3">
        <f>-(($B$7*$B$6)/$B$3)*AC3</f>
        <v>-3042573856.688828</v>
      </c>
      <c r="AD8" s="3">
        <f>-(($B$7*$B$6)/$B$3)*AD3</f>
        <v>-2948498888.5102105</v>
      </c>
      <c r="AE8" s="3">
        <f>-(($B$7*$B$6)/$B$3)*AE3</f>
        <v>-2860940861.0863447</v>
      </c>
      <c r="AF8" s="3">
        <f>-(($B$7*$B$6)/$B$3)*AF3</f>
        <v>-2779868264.0163116</v>
      </c>
      <c r="AG8" s="3">
        <f>-(($B$7*$B$6)/$B$3)*AG3</f>
        <v>-2705224239.6871681</v>
      </c>
      <c r="AH8" s="3">
        <f>-(($B$7*$B$6)/$B$3)*AH3</f>
        <v>-2636927023.4233441</v>
      </c>
      <c r="AI8" s="3">
        <f>-(($B$7*$B$6)/$B$3)*AI3</f>
        <v>-2574870474.1173625</v>
      </c>
      <c r="AJ8" s="3">
        <f>-(($B$7*$B$6)/$B$3)*AJ3</f>
        <v>-2518924690.0148039</v>
      </c>
      <c r="AK8" s="3">
        <f>-(($B$7*$B$6)/$B$3)*AK3</f>
        <v>-2468936704.180799</v>
      </c>
      <c r="AL8" s="3">
        <f>-(($B$7*$B$6)/$B$3)*AL3</f>
        <v>-2424731254.0971341</v>
      </c>
      <c r="AM8" s="3">
        <f>-(($B$7*$B$6)/$B$3)*AM3</f>
        <v>-2386111619.8242159</v>
      </c>
      <c r="AN8" s="3">
        <f>-(($B$7*$B$6)/$B$3)*AN3</f>
        <v>-2352860525.2061014</v>
      </c>
      <c r="AO8" s="3">
        <f>-(($B$7*$B$6)/$B$3)*AO3</f>
        <v>-2324741096.6940169</v>
      </c>
      <c r="AP8" s="3">
        <f>-(($B$7*$B$6)/$B$3)*AP3</f>
        <v>-2301497874.5083075</v>
      </c>
      <c r="AQ8" s="3">
        <f>-(($B$7*$B$6)/$B$3)*AQ3</f>
        <v>-2282857871.0441175</v>
      </c>
      <c r="AR8" s="3">
        <f>-(($B$7*$B$6)/$B$3)*AR3</f>
        <v>-2268531671.6454139</v>
      </c>
      <c r="AS8" s="3">
        <f>-(($B$7*$B$6)/$B$3)*AS3</f>
        <v>-2258214573.1182323</v>
      </c>
      <c r="AT8" s="3">
        <f>-(($B$7*$B$6)/$B$3)*AT3</f>
        <v>-2251587755.6200848</v>
      </c>
      <c r="AU8" s="3">
        <f>-(($B$7*$B$6)/$B$3)*AU3</f>
        <v>-2248319483.8410897</v>
      </c>
      <c r="AV8" s="3">
        <f>-(($B$7*$B$6)/$B$3)*AV3</f>
        <v>-2248066333.6766238</v>
      </c>
      <c r="AW8" s="3">
        <f>-(($B$7*$B$6)/$B$3)*AW3</f>
        <v>-2250474440.8742342</v>
      </c>
      <c r="AX8" s="3">
        <f>-(($B$7*$B$6)/$B$3)*AX3</f>
        <v>-2255180768.4127383</v>
      </c>
      <c r="AY8" s="3">
        <f>-(($B$7*$B$6)/$B$3)*AY3</f>
        <v>-2261814389.6326666</v>
      </c>
      <c r="AZ8" s="3">
        <f>-(($B$7*$B$6)/$B$3)*AZ3</f>
        <v>-2269997784.3789787</v>
      </c>
      <c r="BA8" s="3">
        <f>-(($B$7*$B$6)/$B$3)*BA3</f>
        <v>-2279348145.6340504</v>
      </c>
      <c r="BB8" s="3">
        <f>-(($B$7*$B$6)/$B$3)*BB3</f>
        <v>-2289478694.3069367</v>
      </c>
      <c r="BC8" s="11"/>
      <c r="BD8" s="11"/>
    </row>
    <row r="9" spans="1:56" ht="18">
      <c r="A9" s="4"/>
      <c r="B9" s="4"/>
      <c r="BC9" s="3"/>
    </row>
    <row r="10" spans="1:56" ht="20.399999999999999">
      <c r="A10" s="1" t="s">
        <v>7</v>
      </c>
      <c r="B10" s="1">
        <v>300</v>
      </c>
      <c r="D10" s="12" t="s">
        <v>18</v>
      </c>
      <c r="E10" s="11"/>
      <c r="F10" s="9">
        <f>(F6*G10)+F7</f>
        <v>291.4489240798012</v>
      </c>
      <c r="G10" s="9">
        <f>(G6*H10)+G7</f>
        <v>282.91641908524031</v>
      </c>
      <c r="H10" s="9">
        <f>(H6*I10)+H7</f>
        <v>274.4209729096608</v>
      </c>
      <c r="I10" s="9">
        <f>(I6*J10)+I7</f>
        <v>265.9809078674831</v>
      </c>
      <c r="J10" s="9">
        <f>(J6*K10)+J7</f>
        <v>257.61429911434561</v>
      </c>
      <c r="K10" s="9">
        <f>(K6*L10)+K7</f>
        <v>249.33889450606043</v>
      </c>
      <c r="L10" s="9">
        <f>(L6*M10)+L7</f>
        <v>241.17203635500042</v>
      </c>
      <c r="M10" s="9">
        <f>(M6*N10)+M7</f>
        <v>233.13058552493123</v>
      </c>
      <c r="N10" s="9">
        <f>(N6*O10)+N7</f>
        <v>225.23084828377029</v>
      </c>
      <c r="O10" s="9">
        <f>(O6*P10)+O7</f>
        <v>217.48850630859536</v>
      </c>
      <c r="P10" s="9">
        <f>(P6*Q10)+P7</f>
        <v>209.91855020879501</v>
      </c>
      <c r="Q10" s="9">
        <f>(Q6*R10)+Q7</f>
        <v>202.53521690193799</v>
      </c>
      <c r="R10" s="9">
        <f>(R6*S10)+R7</f>
        <v>195.35193114317042</v>
      </c>
      <c r="S10" s="9">
        <f>(S6*T10)+S7</f>
        <v>188.38125147318021</v>
      </c>
      <c r="T10" s="9">
        <f>(T6*U10)+T7</f>
        <v>181.63482081247719</v>
      </c>
      <c r="U10" s="9">
        <f>(U6*V10)+U7</f>
        <v>175.12332189140236</v>
      </c>
      <c r="V10" s="9">
        <f>(V6*W10)+V7</f>
        <v>168.85643766639845</v>
      </c>
      <c r="W10" s="9">
        <f>(W6*X10)+W7</f>
        <v>162.84281683412513</v>
      </c>
      <c r="X10" s="9">
        <f>(X6*Y10)+X7</f>
        <v>157.09004451645814</v>
      </c>
      <c r="Y10" s="9">
        <f>(Y6*Z10)+Y7</f>
        <v>151.60461815172749</v>
      </c>
      <c r="Z10" s="9">
        <f>(Z6*AA10)+Z7</f>
        <v>146.3919285911447</v>
      </c>
      <c r="AA10" s="9">
        <f>(AA6*AB10)+AA7</f>
        <v>141.45624636464032</v>
      </c>
      <c r="AB10" s="9">
        <f>(AB6*AC10)+AB7</f>
        <v>136.80071304763044</v>
      </c>
      <c r="AC10" s="9">
        <f>(AC6*AD10)+AC7</f>
        <v>132.42733762986757</v>
      </c>
      <c r="AD10" s="9">
        <f>(AD6*AE10)+AD7</f>
        <v>128.33699775976783</v>
      </c>
      <c r="AE10" s="9">
        <f>(AE6*AF10)+AE7</f>
        <v>124.52944571266366</v>
      </c>
      <c r="AF10" s="9">
        <f>(AF6*AG10)+AF7</f>
        <v>121.00331890946551</v>
      </c>
      <c r="AG10" s="9">
        <f>(AG6*AH10)+AG7</f>
        <v>117.75615479334516</v>
      </c>
      <c r="AH10" s="9">
        <f>(AH6*AI10)+AH7</f>
        <v>114.78440985633526</v>
      </c>
      <c r="AI10" s="9">
        <f>(AI6*AJ10)+AI7</f>
        <v>112.08348259518333</v>
      </c>
      <c r="AJ10" s="9">
        <f>(AJ6*AK10)+AJ7</f>
        <v>109.64774016636655</v>
      </c>
      <c r="AK10" s="9">
        <f>(AK6*AL10)+AK7</f>
        <v>107.47054850377816</v>
      </c>
      <c r="AL10" s="9">
        <f>(AL6*AM10)+AL7</f>
        <v>105.54430565911144</v>
      </c>
      <c r="AM10" s="9">
        <f>(AM6*AN10)+AM7</f>
        <v>103.86047812422116</v>
      </c>
      <c r="AN10" s="9">
        <f>(AN6*AO10)+AN7</f>
        <v>102.40963989653703</v>
      </c>
      <c r="AO10" s="9">
        <f>(AO6*AP10)+AO7</f>
        <v>101.18151405270072</v>
      </c>
      <c r="AP10" s="9">
        <f>(AP6*AQ10)+AP7</f>
        <v>100.16501660174268</v>
      </c>
      <c r="AQ10" s="9">
        <f>(AQ6*AR10)+AQ7</f>
        <v>99.348302397025847</v>
      </c>
      <c r="AR10" s="9">
        <f>(AR6*AS10)+AR7</f>
        <v>98.718812895567879</v>
      </c>
      <c r="AS10" s="9">
        <f>(AS6*AT10)+AS7</f>
        <v>98.26332556390534</v>
      </c>
      <c r="AT10" s="9">
        <f>(AT6*AU10)+AT7</f>
        <v>97.968004741076811</v>
      </c>
      <c r="AU10" s="9">
        <f>(AU6*AV10)+AU7</f>
        <v>97.818453781264083</v>
      </c>
      <c r="AV10" s="9">
        <f>(AV6*AW10)+AV7</f>
        <v>97.799768310841245</v>
      </c>
      <c r="AW10" s="9">
        <f>(AW6*AX10)+AW7</f>
        <v>97.896590446742294</v>
      </c>
      <c r="AX10" s="9">
        <f>(AX6*AY10)+AX7</f>
        <v>98.093163834890149</v>
      </c>
      <c r="AY10" s="9">
        <f>(AY6*AZ10)+AY7</f>
        <v>98.373389378667113</v>
      </c>
      <c r="AZ10" s="9">
        <f>(AZ6*BA10)+AZ7</f>
        <v>98.720881537807287</v>
      </c>
      <c r="BA10" s="9">
        <f>(BA6*BB10)+BA7</f>
        <v>99.119025087433471</v>
      </c>
      <c r="BB10" s="9">
        <f>(BB6*BC4)+BB7</f>
        <v>99.551032235052645</v>
      </c>
      <c r="BC10" s="4">
        <v>100</v>
      </c>
    </row>
    <row r="11" spans="1:56" ht="20.399999999999999">
      <c r="A11" s="1" t="s">
        <v>8</v>
      </c>
      <c r="B11" s="1">
        <v>100</v>
      </c>
      <c r="D11" s="4" t="s">
        <v>17</v>
      </c>
      <c r="E11" s="7"/>
      <c r="F11" s="8">
        <f>F4+(($B$8*$B$3)/($B$7*$B$6))*((G4-2*F4+E4)/($B$2^2))</f>
        <v>291.46684204463111</v>
      </c>
      <c r="G11" s="8">
        <f t="shared" ref="G11:BB11" si="3">G4+(($B$8*$B$3)/($B$7*$B$6))*((H4-2*G4+F4)/($B$2^2))</f>
        <v>282.93368408926244</v>
      </c>
      <c r="H11" s="8">
        <f t="shared" si="3"/>
        <v>274.47433621885989</v>
      </c>
      <c r="I11" s="8">
        <f t="shared" si="3"/>
        <v>266.01498834845819</v>
      </c>
      <c r="J11" s="8">
        <f t="shared" si="3"/>
        <v>257.70194932328451</v>
      </c>
      <c r="K11" s="8">
        <f t="shared" si="3"/>
        <v>249.38891029811228</v>
      </c>
      <c r="L11" s="8">
        <f t="shared" si="3"/>
        <v>241.29208638286724</v>
      </c>
      <c r="M11" s="8">
        <f t="shared" si="3"/>
        <v>233.19526246762416</v>
      </c>
      <c r="N11" s="8">
        <f t="shared" si="3"/>
        <v>225.3807454668019</v>
      </c>
      <c r="O11" s="8">
        <f t="shared" si="3"/>
        <v>217.56622846598208</v>
      </c>
      <c r="P11" s="8">
        <f t="shared" si="3"/>
        <v>210.09515987587838</v>
      </c>
      <c r="Q11" s="8">
        <f t="shared" si="3"/>
        <v>202.62409128577747</v>
      </c>
      <c r="R11" s="8">
        <f t="shared" si="3"/>
        <v>195.55163640889378</v>
      </c>
      <c r="S11" s="8">
        <f t="shared" si="3"/>
        <v>188.47918153201314</v>
      </c>
      <c r="T11" s="8">
        <f t="shared" si="3"/>
        <v>181.85363357832298</v>
      </c>
      <c r="U11" s="8">
        <f t="shared" si="3"/>
        <v>175.22808562463609</v>
      </c>
      <c r="V11" s="8">
        <f t="shared" si="3"/>
        <v>169.09011544939372</v>
      </c>
      <c r="W11" s="8">
        <f t="shared" si="3"/>
        <v>162.9521452741547</v>
      </c>
      <c r="X11" s="8">
        <f t="shared" si="3"/>
        <v>157.33420769983169</v>
      </c>
      <c r="Y11" s="8">
        <f t="shared" si="3"/>
        <v>151.71627012551207</v>
      </c>
      <c r="Z11" s="8">
        <f t="shared" si="3"/>
        <v>146.64217300034997</v>
      </c>
      <c r="AA11" s="8">
        <f t="shared" si="3"/>
        <v>141.56807587519123</v>
      </c>
      <c r="AB11" s="8">
        <f t="shared" si="3"/>
        <v>137.05271336013774</v>
      </c>
      <c r="AC11" s="8">
        <f t="shared" si="3"/>
        <v>132.5373508450875</v>
      </c>
      <c r="AD11" s="8">
        <f t="shared" si="3"/>
        <v>128.58659810108765</v>
      </c>
      <c r="AE11" s="8">
        <f t="shared" si="3"/>
        <v>124.63584535709094</v>
      </c>
      <c r="AF11" s="8">
        <f t="shared" si="3"/>
        <v>121.24660799973131</v>
      </c>
      <c r="AG11" s="8">
        <f t="shared" si="3"/>
        <v>117.85737064237466</v>
      </c>
      <c r="AH11" s="8">
        <f t="shared" si="3"/>
        <v>115.01777917299114</v>
      </c>
      <c r="AI11" s="8">
        <f t="shared" si="3"/>
        <v>112.17818770361043</v>
      </c>
      <c r="AJ11" s="8">
        <f t="shared" si="3"/>
        <v>109.86792470014822</v>
      </c>
      <c r="AK11" s="8">
        <f t="shared" si="3"/>
        <v>107.55766169668864</v>
      </c>
      <c r="AL11" s="8">
        <f t="shared" si="3"/>
        <v>105.74840788937446</v>
      </c>
      <c r="AM11" s="8">
        <f t="shared" si="3"/>
        <v>103.93915408206276</v>
      </c>
      <c r="AN11" s="8">
        <f t="shared" si="3"/>
        <v>102.59513853561963</v>
      </c>
      <c r="AO11" s="8">
        <f t="shared" si="3"/>
        <v>101.25112298917881</v>
      </c>
      <c r="AP11" s="8">
        <f t="shared" si="3"/>
        <v>100.3297624082158</v>
      </c>
      <c r="AQ11" s="8">
        <f t="shared" si="3"/>
        <v>99.408401827254906</v>
      </c>
      <c r="AR11" s="8">
        <f t="shared" si="3"/>
        <v>98.861014400698323</v>
      </c>
      <c r="AS11" s="8">
        <f t="shared" si="3"/>
        <v>98.313626974143631</v>
      </c>
      <c r="AT11" s="8">
        <f t="shared" si="3"/>
        <v>98.086207055548229</v>
      </c>
      <c r="AU11" s="8">
        <f t="shared" si="3"/>
        <v>97.858787136954462</v>
      </c>
      <c r="AV11" s="8">
        <f t="shared" si="3"/>
        <v>97.892828278609983</v>
      </c>
      <c r="AW11" s="8">
        <f t="shared" si="3"/>
        <v>97.926869420266826</v>
      </c>
      <c r="AX11" s="8">
        <f t="shared" si="3"/>
        <v>98.160224689568082</v>
      </c>
      <c r="AY11" s="8">
        <f t="shared" si="3"/>
        <v>98.393579958870319</v>
      </c>
      <c r="AZ11" s="8">
        <f t="shared" si="3"/>
        <v>98.761349915667751</v>
      </c>
      <c r="BA11" s="8">
        <f t="shared" si="3"/>
        <v>99.129119872465822</v>
      </c>
      <c r="BB11" s="8">
        <f t="shared" si="3"/>
        <v>99.564559936232797</v>
      </c>
      <c r="BC11" s="4"/>
    </row>
    <row r="13" spans="1:56" ht="18">
      <c r="A13" s="1" t="s">
        <v>14</v>
      </c>
      <c r="B13" s="1">
        <f>B8/B2^2</f>
        <v>11500000</v>
      </c>
    </row>
    <row r="14" spans="1:56" ht="18">
      <c r="A14" s="1" t="s">
        <v>15</v>
      </c>
      <c r="B14" s="1">
        <f>(2*B8)/B2^2+(B7*B6)/B3</f>
        <v>46000000</v>
      </c>
      <c r="BB14" t="e">
        <f>(AF18*$B$21-AG19)/($B$20-$B$21*AF17)</f>
        <v>#DIV/0!</v>
      </c>
    </row>
    <row r="15" spans="1:56" ht="18">
      <c r="A15" s="1" t="s">
        <v>16</v>
      </c>
      <c r="B15" s="1">
        <f>B13</f>
        <v>11500000</v>
      </c>
    </row>
  </sheetData>
  <conditionalFormatting sqref="E3:BC3">
    <cfRule type="colorScale" priority="2">
      <colorScale>
        <cfvo type="min" val="0"/>
        <cfvo type="percentile" val="50"/>
        <cfvo type="max" val="0"/>
        <color theme="4"/>
        <color rgb="FFFFEB84"/>
        <color rgb="FFC00000"/>
      </colorScale>
    </cfRule>
  </conditionalFormatting>
  <conditionalFormatting sqref="E4:BC4">
    <cfRule type="colorScale" priority="1">
      <colorScale>
        <cfvo type="min" val="0"/>
        <cfvo type="percentile" val="50"/>
        <cfvo type="max" val="0"/>
        <color theme="4"/>
        <color rgb="FFFFEB84"/>
        <color rgb="FFC00000"/>
      </colorScale>
    </cfRule>
  </conditionalFormatting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acer</cp:lastModifiedBy>
  <dcterms:created xsi:type="dcterms:W3CDTF">2021-10-25T08:08:32Z</dcterms:created>
  <dcterms:modified xsi:type="dcterms:W3CDTF">2021-10-25T09:36:20Z</dcterms:modified>
</cp:coreProperties>
</file>