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20" yWindow="-120" windowWidth="23256" windowHeight="13176"/>
  </bookViews>
  <sheets>
    <sheet name="Лист1" sheetId="1" r:id="rId1"/>
  </sheets>
  <calcPr calcId="125725" iterate="1"/>
</workbook>
</file>

<file path=xl/calcChain.xml><?xml version="1.0" encoding="utf-8"?>
<calcChain xmlns="http://schemas.openxmlformats.org/spreadsheetml/2006/main">
  <c r="G7" i="1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F7"/>
  <c r="G6" l="1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F6"/>
  <c r="BC4"/>
  <c r="B2"/>
  <c r="F3" s="1"/>
  <c r="G3" s="1"/>
  <c r="H3" s="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E4"/>
  <c r="B3" l="1"/>
</calcChain>
</file>

<file path=xl/sharedStrings.xml><?xml version="1.0" encoding="utf-8"?>
<sst xmlns="http://schemas.openxmlformats.org/spreadsheetml/2006/main" count="15" uniqueCount="14">
  <si>
    <t>L</t>
  </si>
  <si>
    <t>dx</t>
  </si>
  <si>
    <t>dt</t>
  </si>
  <si>
    <t>t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</si>
  <si>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</si>
  <si>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</si>
  <si>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</si>
  <si>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</si>
  <si>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</si>
  <si>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start</t>
    </r>
  </si>
  <si>
    <t>N</t>
  </si>
  <si>
    <t>T</t>
  </si>
  <si>
    <r>
      <t>T</t>
    </r>
    <r>
      <rPr>
        <sz val="10"/>
        <color theme="1"/>
        <rFont val="Times New Roman"/>
        <family val="1"/>
        <charset val="204"/>
      </rPr>
      <t>iter</t>
    </r>
  </si>
  <si>
    <t>q</t>
  </si>
</sst>
</file>

<file path=xl/styles.xml><?xml version="1.0" encoding="utf-8"?>
<styleSheet xmlns="http://schemas.openxmlformats.org/spreadsheetml/2006/main">
  <numFmts count="4">
    <numFmt numFmtId="43" formatCode="_-* #,##0.00\ _₽_-;\-* #,##0.00\ _₽_-;_-* &quot;-&quot;??\ _₽_-;_-@_-"/>
    <numFmt numFmtId="164" formatCode="0.000"/>
    <numFmt numFmtId="165" formatCode="0.0"/>
    <numFmt numFmtId="167" formatCode="_-* #,##0\ _₽_-;\-* #,##0\ _₽_-;_-* &quot;-&quot;??\ _₽_-;_-@_-"/>
  </numFmts>
  <fonts count="5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 wrapText="1"/>
    </xf>
    <xf numFmtId="164" fontId="1" fillId="0" borderId="0" xfId="0" applyNumberFormat="1" applyFont="1" applyAlignment="1">
      <alignment horizontal="center"/>
    </xf>
    <xf numFmtId="43" fontId="1" fillId="0" borderId="0" xfId="1" applyFont="1" applyAlignment="1">
      <alignment horizontal="center"/>
    </xf>
    <xf numFmtId="2" fontId="1" fillId="0" borderId="0" xfId="1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7" fontId="1" fillId="0" borderId="0" xfId="1" applyNumberFormat="1" applyFont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4"/>
  <c:chart>
    <c:plotArea>
      <c:layout>
        <c:manualLayout>
          <c:layoutTarget val="inner"/>
          <c:xMode val="edge"/>
          <c:yMode val="edge"/>
          <c:x val="0.1107954048024022"/>
          <c:y val="9.2236372333681621E-2"/>
          <c:w val="0.82752792958890253"/>
          <c:h val="0.8102719988347401"/>
        </c:manualLayout>
      </c:layout>
      <c:scatterChart>
        <c:scatterStyle val="smoothMarker"/>
        <c:ser>
          <c:idx val="0"/>
          <c:order val="0"/>
          <c:spPr>
            <a:ln w="41275"/>
          </c:spPr>
          <c:marker>
            <c:symbol val="none"/>
          </c:marker>
          <c:xVal>
            <c:numRef>
              <c:f>Лист1!$E$3:$BC$3</c:f>
              <c:numCache>
                <c:formatCode>0.000</c:formatCode>
                <c:ptCount val="5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</c:numCache>
            </c:numRef>
          </c:xVal>
          <c:yVal>
            <c:numRef>
              <c:f>Лист1!$E$4:$BC$4</c:f>
              <c:numCache>
                <c:formatCode>0.000</c:formatCode>
                <c:ptCount val="51"/>
                <c:pt idx="0" formatCode="_-* #,##0.00\ _₽_-;\-* #,##0.00\ _₽_-;_-* &quot;-&quot;??\ _₽_-;_-@_-">
                  <c:v>300</c:v>
                </c:pt>
                <c:pt idx="1">
                  <c:v>295.99999999999943</c:v>
                </c:pt>
                <c:pt idx="2">
                  <c:v>291.99999999999886</c:v>
                </c:pt>
                <c:pt idx="3">
                  <c:v>287.99999999999835</c:v>
                </c:pt>
                <c:pt idx="4">
                  <c:v>283.99999999999784</c:v>
                </c:pt>
                <c:pt idx="5">
                  <c:v>279.99999999999739</c:v>
                </c:pt>
                <c:pt idx="6">
                  <c:v>275.99999999999699</c:v>
                </c:pt>
                <c:pt idx="7">
                  <c:v>271.99999999999659</c:v>
                </c:pt>
                <c:pt idx="8">
                  <c:v>267.99999999999625</c:v>
                </c:pt>
                <c:pt idx="9">
                  <c:v>263.99999999999596</c:v>
                </c:pt>
                <c:pt idx="10">
                  <c:v>259.99999999999568</c:v>
                </c:pt>
                <c:pt idx="11">
                  <c:v>255.99999999999545</c:v>
                </c:pt>
                <c:pt idx="12">
                  <c:v>251.99999999999523</c:v>
                </c:pt>
                <c:pt idx="13">
                  <c:v>247.99999999999503</c:v>
                </c:pt>
                <c:pt idx="14">
                  <c:v>243.99999999999483</c:v>
                </c:pt>
                <c:pt idx="15">
                  <c:v>239.99999999999466</c:v>
                </c:pt>
                <c:pt idx="16">
                  <c:v>235.99999999999451</c:v>
                </c:pt>
                <c:pt idx="17">
                  <c:v>231.99999999999437</c:v>
                </c:pt>
                <c:pt idx="18">
                  <c:v>227.99999999999426</c:v>
                </c:pt>
                <c:pt idx="19">
                  <c:v>223.99999999999417</c:v>
                </c:pt>
                <c:pt idx="20">
                  <c:v>219.99999999999409</c:v>
                </c:pt>
                <c:pt idx="21">
                  <c:v>215.99999999999403</c:v>
                </c:pt>
                <c:pt idx="22">
                  <c:v>211.999999999994</c:v>
                </c:pt>
                <c:pt idx="23">
                  <c:v>207.99999999999397</c:v>
                </c:pt>
                <c:pt idx="24">
                  <c:v>203.99999999999397</c:v>
                </c:pt>
                <c:pt idx="25">
                  <c:v>199.999999999994</c:v>
                </c:pt>
                <c:pt idx="26">
                  <c:v>195.99999999999403</c:v>
                </c:pt>
                <c:pt idx="27">
                  <c:v>191.99999999999409</c:v>
                </c:pt>
                <c:pt idx="28">
                  <c:v>187.99999999999415</c:v>
                </c:pt>
                <c:pt idx="29">
                  <c:v>183.99999999999423</c:v>
                </c:pt>
                <c:pt idx="30">
                  <c:v>179.99999999999432</c:v>
                </c:pt>
                <c:pt idx="31">
                  <c:v>175.99999999999443</c:v>
                </c:pt>
                <c:pt idx="32">
                  <c:v>171.99999999999457</c:v>
                </c:pt>
                <c:pt idx="33">
                  <c:v>167.99999999999471</c:v>
                </c:pt>
                <c:pt idx="34">
                  <c:v>163.99999999999488</c:v>
                </c:pt>
                <c:pt idx="35">
                  <c:v>159.99999999999508</c:v>
                </c:pt>
                <c:pt idx="36">
                  <c:v>155.99999999999528</c:v>
                </c:pt>
                <c:pt idx="37">
                  <c:v>151.99999999999551</c:v>
                </c:pt>
                <c:pt idx="38">
                  <c:v>147.99999999999577</c:v>
                </c:pt>
                <c:pt idx="39">
                  <c:v>143.99999999999602</c:v>
                </c:pt>
                <c:pt idx="40">
                  <c:v>139.99999999999631</c:v>
                </c:pt>
                <c:pt idx="41">
                  <c:v>135.99999999999662</c:v>
                </c:pt>
                <c:pt idx="42">
                  <c:v>131.99999999999693</c:v>
                </c:pt>
                <c:pt idx="43">
                  <c:v>127.99999999999729</c:v>
                </c:pt>
                <c:pt idx="44">
                  <c:v>123.99999999999764</c:v>
                </c:pt>
                <c:pt idx="45">
                  <c:v>119.99999999999801</c:v>
                </c:pt>
                <c:pt idx="46">
                  <c:v>115.99999999999839</c:v>
                </c:pt>
                <c:pt idx="47">
                  <c:v>111.99999999999878</c:v>
                </c:pt>
                <c:pt idx="48">
                  <c:v>107.99999999999918</c:v>
                </c:pt>
                <c:pt idx="49">
                  <c:v>103.99999999999959</c:v>
                </c:pt>
                <c:pt idx="5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8E1-4F94-89D0-C1B3496E3A59}"/>
            </c:ext>
          </c:extLst>
        </c:ser>
        <c:dLbls/>
        <c:axId val="61445632"/>
        <c:axId val="61447168"/>
      </c:scatterChart>
      <c:valAx>
        <c:axId val="61445632"/>
        <c:scaling>
          <c:orientation val="minMax"/>
          <c:max val="0.1"/>
          <c:min val="0"/>
        </c:scaling>
        <c:axPos val="b"/>
        <c:numFmt formatCode="0.000" sourceLinked="1"/>
        <c:tickLblPos val="nextTo"/>
        <c:crossAx val="61447168"/>
        <c:crosses val="autoZero"/>
        <c:crossBetween val="midCat"/>
        <c:majorUnit val="1.0000000000000005E-2"/>
        <c:minorUnit val="2.0000000000000026E-3"/>
      </c:valAx>
      <c:valAx>
        <c:axId val="61447168"/>
        <c:scaling>
          <c:orientation val="minMax"/>
          <c:min val="0"/>
        </c:scaling>
        <c:axPos val="l"/>
        <c:majorGridlines/>
        <c:numFmt formatCode="0.000" sourceLinked="0"/>
        <c:tickLblPos val="nextTo"/>
        <c:crossAx val="6144563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185057</xdr:rowOff>
    </xdr:from>
    <xdr:to>
      <xdr:col>16</xdr:col>
      <xdr:colOff>163287</xdr:colOff>
      <xdr:row>30</xdr:row>
      <xdr:rowOff>119741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97972</xdr:colOff>
      <xdr:row>10</xdr:row>
      <xdr:rowOff>10887</xdr:rowOff>
    </xdr:from>
    <xdr:to>
      <xdr:col>3</xdr:col>
      <xdr:colOff>525735</xdr:colOff>
      <xdr:row>10</xdr:row>
      <xdr:rowOff>227363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/>
      </xdr:nvSpPr>
      <xdr:spPr>
        <a:xfrm>
          <a:off x="1926772" y="2394858"/>
          <a:ext cx="427763" cy="21647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400" b="0" i="0">
              <a:latin typeface="Cambria Math" panose="02040503050406030204" pitchFamily="18" charset="0"/>
            </a:rPr>
            <a:t>𝑇, ℃ </a:t>
          </a:r>
          <a:endParaRPr lang="ru-RU" sz="1400"/>
        </a:p>
      </xdr:txBody>
    </xdr:sp>
    <xdr:clientData/>
  </xdr:twoCellAnchor>
  <xdr:twoCellAnchor>
    <xdr:from>
      <xdr:col>15</xdr:col>
      <xdr:colOff>326571</xdr:colOff>
      <xdr:row>29</xdr:row>
      <xdr:rowOff>76199</xdr:rowOff>
    </xdr:from>
    <xdr:to>
      <xdr:col>16</xdr:col>
      <xdr:colOff>90481</xdr:colOff>
      <xdr:row>30</xdr:row>
      <xdr:rowOff>64075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 txBox="1"/>
      </xdr:nvSpPr>
      <xdr:spPr>
        <a:xfrm>
          <a:off x="10297885" y="6868885"/>
          <a:ext cx="384396" cy="21647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400" b="0" i="0">
              <a:latin typeface="Cambria Math" panose="02040503050406030204" pitchFamily="18" charset="0"/>
            </a:rPr>
            <a:t>𝐿, м 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BC13"/>
  <sheetViews>
    <sheetView tabSelected="1" zoomScale="70" zoomScaleNormal="70" workbookViewId="0">
      <selection activeCell="F4" sqref="F4:BB4"/>
    </sheetView>
  </sheetViews>
  <sheetFormatPr defaultColWidth="8.88671875" defaultRowHeight="18"/>
  <cols>
    <col min="1" max="4" width="8.88671875" style="4"/>
    <col min="5" max="5" width="12.109375" style="4" bestFit="1" customWidth="1"/>
    <col min="6" max="6" width="16.33203125" style="4" bestFit="1" customWidth="1"/>
    <col min="7" max="24" width="16.44140625" style="4" bestFit="1" customWidth="1"/>
    <col min="25" max="26" width="16.109375" style="4" bestFit="1" customWidth="1"/>
    <col min="27" max="28" width="16.44140625" style="4" bestFit="1" customWidth="1"/>
    <col min="29" max="54" width="15" style="4" bestFit="1" customWidth="1"/>
    <col min="55" max="55" width="9.6640625" style="4" bestFit="1" customWidth="1"/>
    <col min="56" max="16384" width="8.88671875" style="4"/>
  </cols>
  <sheetData>
    <row r="1" spans="1:55">
      <c r="A1" s="1" t="s">
        <v>0</v>
      </c>
      <c r="B1" s="1">
        <v>0.1</v>
      </c>
    </row>
    <row r="2" spans="1:55">
      <c r="A2" s="1" t="s">
        <v>1</v>
      </c>
      <c r="B2" s="2">
        <f>B1/50</f>
        <v>2E-3</v>
      </c>
      <c r="D2" s="4" t="s">
        <v>10</v>
      </c>
      <c r="E2" s="5">
        <v>1</v>
      </c>
      <c r="F2" s="5">
        <v>2</v>
      </c>
      <c r="G2" s="5">
        <v>3</v>
      </c>
      <c r="H2" s="5">
        <v>4</v>
      </c>
      <c r="I2" s="5">
        <v>5</v>
      </c>
      <c r="J2" s="5">
        <v>6</v>
      </c>
      <c r="K2" s="5">
        <v>7</v>
      </c>
      <c r="L2" s="5">
        <v>8</v>
      </c>
      <c r="M2" s="5">
        <v>9</v>
      </c>
      <c r="N2" s="5">
        <v>10</v>
      </c>
      <c r="O2" s="5">
        <v>11</v>
      </c>
      <c r="P2" s="5">
        <v>12</v>
      </c>
      <c r="Q2" s="5">
        <v>13</v>
      </c>
      <c r="R2" s="5">
        <v>14</v>
      </c>
      <c r="S2" s="5">
        <v>15</v>
      </c>
      <c r="T2" s="6">
        <v>16</v>
      </c>
      <c r="U2" s="6">
        <v>17</v>
      </c>
      <c r="V2" s="6">
        <v>18</v>
      </c>
      <c r="W2" s="6">
        <v>19</v>
      </c>
      <c r="X2" s="6">
        <v>20</v>
      </c>
      <c r="Y2" s="6">
        <v>21</v>
      </c>
      <c r="Z2" s="6">
        <v>22</v>
      </c>
      <c r="AA2" s="6">
        <v>23</v>
      </c>
      <c r="AB2" s="6">
        <v>24</v>
      </c>
      <c r="AC2" s="6">
        <v>25</v>
      </c>
      <c r="AD2" s="6">
        <v>26</v>
      </c>
      <c r="AE2" s="6">
        <v>27</v>
      </c>
      <c r="AF2" s="6">
        <v>28</v>
      </c>
      <c r="AG2" s="6">
        <v>29</v>
      </c>
      <c r="AH2" s="6">
        <v>30</v>
      </c>
      <c r="AI2" s="6">
        <v>31</v>
      </c>
      <c r="AJ2" s="6">
        <v>32</v>
      </c>
      <c r="AK2" s="6">
        <v>33</v>
      </c>
      <c r="AL2" s="6">
        <v>34</v>
      </c>
      <c r="AM2" s="6">
        <v>35</v>
      </c>
      <c r="AN2" s="6">
        <v>36</v>
      </c>
      <c r="AO2" s="6">
        <v>37</v>
      </c>
      <c r="AP2" s="6">
        <v>38</v>
      </c>
      <c r="AQ2" s="6">
        <v>39</v>
      </c>
      <c r="AR2" s="6">
        <v>40</v>
      </c>
      <c r="AS2" s="6">
        <v>41</v>
      </c>
      <c r="AT2" s="6">
        <v>42</v>
      </c>
      <c r="AU2" s="6">
        <v>43</v>
      </c>
      <c r="AV2" s="6">
        <v>44</v>
      </c>
      <c r="AW2" s="6">
        <v>45</v>
      </c>
      <c r="AX2" s="6">
        <v>46</v>
      </c>
      <c r="AY2" s="6">
        <v>47</v>
      </c>
      <c r="AZ2" s="6">
        <v>48</v>
      </c>
      <c r="BA2" s="6">
        <v>49</v>
      </c>
      <c r="BB2" s="6">
        <v>50</v>
      </c>
      <c r="BC2" s="6">
        <v>51</v>
      </c>
    </row>
    <row r="3" spans="1:55">
      <c r="A3" s="1" t="s">
        <v>2</v>
      </c>
      <c r="B3" s="2">
        <f>(B7*B6*B2^2)/(2*B8)</f>
        <v>0.15599999999999997</v>
      </c>
      <c r="D3" s="4" t="s">
        <v>0</v>
      </c>
      <c r="E3" s="7">
        <v>0</v>
      </c>
      <c r="F3" s="7">
        <f>E3+$B$2</f>
        <v>2E-3</v>
      </c>
      <c r="G3" s="7">
        <f t="shared" ref="G3:AI3" si="0">F3+$B$2</f>
        <v>4.0000000000000001E-3</v>
      </c>
      <c r="H3" s="7">
        <f t="shared" si="0"/>
        <v>6.0000000000000001E-3</v>
      </c>
      <c r="I3" s="7">
        <f t="shared" si="0"/>
        <v>8.0000000000000002E-3</v>
      </c>
      <c r="J3" s="7">
        <f t="shared" si="0"/>
        <v>0.01</v>
      </c>
      <c r="K3" s="7">
        <f t="shared" si="0"/>
        <v>1.2E-2</v>
      </c>
      <c r="L3" s="7">
        <f t="shared" si="0"/>
        <v>1.4E-2</v>
      </c>
      <c r="M3" s="7">
        <f t="shared" si="0"/>
        <v>1.6E-2</v>
      </c>
      <c r="N3" s="7">
        <f t="shared" si="0"/>
        <v>1.8000000000000002E-2</v>
      </c>
      <c r="O3" s="7">
        <f t="shared" si="0"/>
        <v>2.0000000000000004E-2</v>
      </c>
      <c r="P3" s="7">
        <f t="shared" si="0"/>
        <v>2.2000000000000006E-2</v>
      </c>
      <c r="Q3" s="7">
        <f t="shared" si="0"/>
        <v>2.4000000000000007E-2</v>
      </c>
      <c r="R3" s="7">
        <f t="shared" si="0"/>
        <v>2.6000000000000009E-2</v>
      </c>
      <c r="S3" s="7">
        <f t="shared" si="0"/>
        <v>2.8000000000000011E-2</v>
      </c>
      <c r="T3" s="7">
        <f t="shared" si="0"/>
        <v>3.0000000000000013E-2</v>
      </c>
      <c r="U3" s="7">
        <f t="shared" si="0"/>
        <v>3.2000000000000015E-2</v>
      </c>
      <c r="V3" s="7">
        <f t="shared" si="0"/>
        <v>3.4000000000000016E-2</v>
      </c>
      <c r="W3" s="7">
        <f t="shared" si="0"/>
        <v>3.6000000000000018E-2</v>
      </c>
      <c r="X3" s="7">
        <f t="shared" si="0"/>
        <v>3.800000000000002E-2</v>
      </c>
      <c r="Y3" s="7">
        <f t="shared" si="0"/>
        <v>4.0000000000000022E-2</v>
      </c>
      <c r="Z3" s="7">
        <f t="shared" si="0"/>
        <v>4.2000000000000023E-2</v>
      </c>
      <c r="AA3" s="7">
        <f t="shared" si="0"/>
        <v>4.4000000000000025E-2</v>
      </c>
      <c r="AB3" s="7">
        <f t="shared" si="0"/>
        <v>4.6000000000000027E-2</v>
      </c>
      <c r="AC3" s="7">
        <f t="shared" si="0"/>
        <v>4.8000000000000029E-2</v>
      </c>
      <c r="AD3" s="7">
        <f t="shared" si="0"/>
        <v>5.0000000000000031E-2</v>
      </c>
      <c r="AE3" s="7">
        <f t="shared" si="0"/>
        <v>5.2000000000000032E-2</v>
      </c>
      <c r="AF3" s="7">
        <f t="shared" si="0"/>
        <v>5.4000000000000034E-2</v>
      </c>
      <c r="AG3" s="7">
        <f t="shared" si="0"/>
        <v>5.6000000000000036E-2</v>
      </c>
      <c r="AH3" s="7">
        <f t="shared" si="0"/>
        <v>5.8000000000000038E-2</v>
      </c>
      <c r="AI3" s="7">
        <f t="shared" si="0"/>
        <v>6.0000000000000039E-2</v>
      </c>
      <c r="AJ3" s="7">
        <f t="shared" ref="AJ3" si="1">AI3+$B$2</f>
        <v>6.2000000000000041E-2</v>
      </c>
      <c r="AK3" s="7">
        <f t="shared" ref="AK3" si="2">AJ3+$B$2</f>
        <v>6.4000000000000043E-2</v>
      </c>
      <c r="AL3" s="7">
        <f t="shared" ref="AL3" si="3">AK3+$B$2</f>
        <v>6.6000000000000045E-2</v>
      </c>
      <c r="AM3" s="7">
        <f t="shared" ref="AM3" si="4">AL3+$B$2</f>
        <v>6.8000000000000047E-2</v>
      </c>
      <c r="AN3" s="7">
        <f t="shared" ref="AN3" si="5">AM3+$B$2</f>
        <v>7.0000000000000048E-2</v>
      </c>
      <c r="AO3" s="7">
        <f t="shared" ref="AO3" si="6">AN3+$B$2</f>
        <v>7.200000000000005E-2</v>
      </c>
      <c r="AP3" s="7">
        <f t="shared" ref="AP3" si="7">AO3+$B$2</f>
        <v>7.4000000000000052E-2</v>
      </c>
      <c r="AQ3" s="7">
        <f t="shared" ref="AQ3" si="8">AP3+$B$2</f>
        <v>7.6000000000000054E-2</v>
      </c>
      <c r="AR3" s="7">
        <f t="shared" ref="AR3" si="9">AQ3+$B$2</f>
        <v>7.8000000000000055E-2</v>
      </c>
      <c r="AS3" s="7">
        <f t="shared" ref="AS3" si="10">AR3+$B$2</f>
        <v>8.0000000000000057E-2</v>
      </c>
      <c r="AT3" s="7">
        <f t="shared" ref="AT3" si="11">AS3+$B$2</f>
        <v>8.2000000000000059E-2</v>
      </c>
      <c r="AU3" s="7">
        <f t="shared" ref="AU3" si="12">AT3+$B$2</f>
        <v>8.4000000000000061E-2</v>
      </c>
      <c r="AV3" s="7">
        <f t="shared" ref="AV3" si="13">AU3+$B$2</f>
        <v>8.6000000000000063E-2</v>
      </c>
      <c r="AW3" s="7">
        <f t="shared" ref="AW3" si="14">AV3+$B$2</f>
        <v>8.8000000000000064E-2</v>
      </c>
      <c r="AX3" s="7">
        <f t="shared" ref="AX3" si="15">AW3+$B$2</f>
        <v>9.0000000000000066E-2</v>
      </c>
      <c r="AY3" s="7">
        <f t="shared" ref="AY3" si="16">AX3+$B$2</f>
        <v>9.2000000000000068E-2</v>
      </c>
      <c r="AZ3" s="7">
        <f t="shared" ref="AZ3" si="17">AY3+$B$2</f>
        <v>9.400000000000007E-2</v>
      </c>
      <c r="BA3" s="7">
        <f t="shared" ref="BA3" si="18">AZ3+$B$2</f>
        <v>9.6000000000000071E-2</v>
      </c>
      <c r="BB3" s="7">
        <f t="shared" ref="BB3" si="19">BA3+$B$2</f>
        <v>9.8000000000000073E-2</v>
      </c>
      <c r="BC3" s="7">
        <f t="shared" ref="BC3" si="20">BB3+$B$2</f>
        <v>0.10000000000000007</v>
      </c>
    </row>
    <row r="4" spans="1:55">
      <c r="A4" s="1" t="s">
        <v>3</v>
      </c>
      <c r="B4" s="1">
        <v>5000</v>
      </c>
      <c r="C4" s="4">
        <v>5000.1119999999992</v>
      </c>
      <c r="D4" s="4" t="s">
        <v>11</v>
      </c>
      <c r="E4" s="8">
        <f>B10</f>
        <v>300</v>
      </c>
      <c r="F4" s="7">
        <v>295.99999999999943</v>
      </c>
      <c r="G4" s="7">
        <v>291.99999999999886</v>
      </c>
      <c r="H4" s="7">
        <v>287.99999999999835</v>
      </c>
      <c r="I4" s="7">
        <v>283.99999999999784</v>
      </c>
      <c r="J4" s="7">
        <v>279.99999999999739</v>
      </c>
      <c r="K4" s="7">
        <v>275.99999999999699</v>
      </c>
      <c r="L4" s="7">
        <v>271.99999999999659</v>
      </c>
      <c r="M4" s="7">
        <v>267.99999999999625</v>
      </c>
      <c r="N4" s="7">
        <v>263.99999999999596</v>
      </c>
      <c r="O4" s="7">
        <v>259.99999999999568</v>
      </c>
      <c r="P4" s="7">
        <v>255.99999999999545</v>
      </c>
      <c r="Q4" s="7">
        <v>251.99999999999523</v>
      </c>
      <c r="R4" s="7">
        <v>247.99999999999503</v>
      </c>
      <c r="S4" s="7">
        <v>243.99999999999483</v>
      </c>
      <c r="T4" s="7">
        <v>239.99999999999466</v>
      </c>
      <c r="U4" s="7">
        <v>235.99999999999451</v>
      </c>
      <c r="V4" s="7">
        <v>231.99999999999437</v>
      </c>
      <c r="W4" s="7">
        <v>227.99999999999426</v>
      </c>
      <c r="X4" s="7">
        <v>223.99999999999417</v>
      </c>
      <c r="Y4" s="7">
        <v>219.99999999999409</v>
      </c>
      <c r="Z4" s="7">
        <v>215.99999999999403</v>
      </c>
      <c r="AA4" s="7">
        <v>211.999999999994</v>
      </c>
      <c r="AB4" s="7">
        <v>207.99999999999397</v>
      </c>
      <c r="AC4" s="7">
        <v>203.99999999999397</v>
      </c>
      <c r="AD4" s="7">
        <v>199.999999999994</v>
      </c>
      <c r="AE4" s="7">
        <v>195.99999999999403</v>
      </c>
      <c r="AF4" s="7">
        <v>191.99999999999409</v>
      </c>
      <c r="AG4" s="7">
        <v>187.99999999999415</v>
      </c>
      <c r="AH4" s="7">
        <v>183.99999999999423</v>
      </c>
      <c r="AI4" s="7">
        <v>179.99999999999432</v>
      </c>
      <c r="AJ4" s="7">
        <v>175.99999999999443</v>
      </c>
      <c r="AK4" s="7">
        <v>171.99999999999457</v>
      </c>
      <c r="AL4" s="7">
        <v>167.99999999999471</v>
      </c>
      <c r="AM4" s="7">
        <v>163.99999999999488</v>
      </c>
      <c r="AN4" s="7">
        <v>159.99999999999508</v>
      </c>
      <c r="AO4" s="7">
        <v>155.99999999999528</v>
      </c>
      <c r="AP4" s="7">
        <v>151.99999999999551</v>
      </c>
      <c r="AQ4" s="7">
        <v>147.99999999999577</v>
      </c>
      <c r="AR4" s="7">
        <v>143.99999999999602</v>
      </c>
      <c r="AS4" s="7">
        <v>139.99999999999631</v>
      </c>
      <c r="AT4" s="7">
        <v>135.99999999999662</v>
      </c>
      <c r="AU4" s="7">
        <v>131.99999999999693</v>
      </c>
      <c r="AV4" s="7">
        <v>127.99999999999729</v>
      </c>
      <c r="AW4" s="7">
        <v>123.99999999999764</v>
      </c>
      <c r="AX4" s="7">
        <v>119.99999999999801</v>
      </c>
      <c r="AY4" s="7">
        <v>115.99999999999839</v>
      </c>
      <c r="AZ4" s="7">
        <v>111.99999999999878</v>
      </c>
      <c r="BA4" s="7">
        <v>107.99999999999918</v>
      </c>
      <c r="BB4" s="7">
        <v>103.99999999999959</v>
      </c>
      <c r="BC4" s="7">
        <f>B11</f>
        <v>100</v>
      </c>
    </row>
    <row r="5" spans="1:55">
      <c r="A5" s="3"/>
      <c r="B5" s="3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5" ht="20.399999999999999">
      <c r="A6" s="1" t="s">
        <v>4</v>
      </c>
      <c r="B6" s="1">
        <v>460</v>
      </c>
      <c r="D6" s="4" t="s">
        <v>12</v>
      </c>
      <c r="E6" s="7"/>
      <c r="F6" s="9">
        <f>F4+(($B$8*$B$3)/($B$7*$B$6))*((G4-2*F4+E4)/($B$2^2))</f>
        <v>295.99999999999943</v>
      </c>
      <c r="G6" s="9">
        <f t="shared" ref="G6:BB6" si="21">G4+(($B$8*$B$3)/($B$7*$B$6))*((H4-2*G4+F4)/($B$2^2))</f>
        <v>291.99999999999886</v>
      </c>
      <c r="H6" s="9">
        <f t="shared" si="21"/>
        <v>287.99999999999835</v>
      </c>
      <c r="I6" s="9">
        <f t="shared" si="21"/>
        <v>283.99999999999784</v>
      </c>
      <c r="J6" s="9">
        <f t="shared" si="21"/>
        <v>279.99999999999739</v>
      </c>
      <c r="K6" s="9">
        <f t="shared" si="21"/>
        <v>275.99999999999699</v>
      </c>
      <c r="L6" s="9">
        <f t="shared" si="21"/>
        <v>271.99999999999659</v>
      </c>
      <c r="M6" s="9">
        <f t="shared" si="21"/>
        <v>267.99999999999625</v>
      </c>
      <c r="N6" s="9">
        <f t="shared" si="21"/>
        <v>263.99999999999596</v>
      </c>
      <c r="O6" s="9">
        <f t="shared" si="21"/>
        <v>259.99999999999568</v>
      </c>
      <c r="P6" s="9">
        <f t="shared" si="21"/>
        <v>255.99999999999545</v>
      </c>
      <c r="Q6" s="9">
        <f t="shared" si="21"/>
        <v>251.99999999999523</v>
      </c>
      <c r="R6" s="9">
        <f t="shared" si="21"/>
        <v>247.99999999999503</v>
      </c>
      <c r="S6" s="9">
        <f t="shared" si="21"/>
        <v>243.99999999999483</v>
      </c>
      <c r="T6" s="9">
        <f t="shared" si="21"/>
        <v>239.99999999999466</v>
      </c>
      <c r="U6" s="9">
        <f t="shared" si="21"/>
        <v>235.99999999999451</v>
      </c>
      <c r="V6" s="9">
        <f t="shared" si="21"/>
        <v>231.99999999999437</v>
      </c>
      <c r="W6" s="9">
        <f t="shared" si="21"/>
        <v>227.99999999999426</v>
      </c>
      <c r="X6" s="9">
        <f t="shared" si="21"/>
        <v>223.99999999999417</v>
      </c>
      <c r="Y6" s="9">
        <f t="shared" si="21"/>
        <v>219.99999999999409</v>
      </c>
      <c r="Z6" s="9">
        <f t="shared" si="21"/>
        <v>215.99999999999403</v>
      </c>
      <c r="AA6" s="9">
        <f t="shared" si="21"/>
        <v>211.999999999994</v>
      </c>
      <c r="AB6" s="9">
        <f t="shared" si="21"/>
        <v>207.99999999999397</v>
      </c>
      <c r="AC6" s="9">
        <f t="shared" si="21"/>
        <v>203.99999999999397</v>
      </c>
      <c r="AD6" s="9">
        <f t="shared" si="21"/>
        <v>199.999999999994</v>
      </c>
      <c r="AE6" s="9">
        <f t="shared" si="21"/>
        <v>195.99999999999403</v>
      </c>
      <c r="AF6" s="9">
        <f t="shared" si="21"/>
        <v>191.99999999999409</v>
      </c>
      <c r="AG6" s="9">
        <f t="shared" si="21"/>
        <v>187.99999999999415</v>
      </c>
      <c r="AH6" s="9">
        <f t="shared" si="21"/>
        <v>183.99999999999423</v>
      </c>
      <c r="AI6" s="9">
        <f t="shared" si="21"/>
        <v>179.99999999999432</v>
      </c>
      <c r="AJ6" s="9">
        <f t="shared" si="21"/>
        <v>175.99999999999443</v>
      </c>
      <c r="AK6" s="9">
        <f t="shared" si="21"/>
        <v>171.99999999999457</v>
      </c>
      <c r="AL6" s="9">
        <f t="shared" si="21"/>
        <v>167.99999999999471</v>
      </c>
      <c r="AM6" s="9">
        <f t="shared" si="21"/>
        <v>163.99999999999488</v>
      </c>
      <c r="AN6" s="9">
        <f t="shared" si="21"/>
        <v>159.99999999999508</v>
      </c>
      <c r="AO6" s="9">
        <f t="shared" si="21"/>
        <v>155.99999999999528</v>
      </c>
      <c r="AP6" s="9">
        <f t="shared" si="21"/>
        <v>151.99999999999551</v>
      </c>
      <c r="AQ6" s="9">
        <f t="shared" si="21"/>
        <v>147.99999999999577</v>
      </c>
      <c r="AR6" s="9">
        <f t="shared" si="21"/>
        <v>143.99999999999602</v>
      </c>
      <c r="AS6" s="9">
        <f t="shared" si="21"/>
        <v>139.99999999999631</v>
      </c>
      <c r="AT6" s="9">
        <f t="shared" si="21"/>
        <v>135.99999999999662</v>
      </c>
      <c r="AU6" s="9">
        <f t="shared" si="21"/>
        <v>131.99999999999693</v>
      </c>
      <c r="AV6" s="9">
        <f t="shared" si="21"/>
        <v>127.99999999999729</v>
      </c>
      <c r="AW6" s="9">
        <f t="shared" si="21"/>
        <v>123.99999999999764</v>
      </c>
      <c r="AX6" s="9">
        <f t="shared" si="21"/>
        <v>119.99999999999801</v>
      </c>
      <c r="AY6" s="9">
        <f t="shared" si="21"/>
        <v>115.99999999999839</v>
      </c>
      <c r="AZ6" s="9">
        <f t="shared" si="21"/>
        <v>111.99999999999878</v>
      </c>
      <c r="BA6" s="9">
        <f t="shared" si="21"/>
        <v>107.99999999999918</v>
      </c>
      <c r="BB6" s="9">
        <f t="shared" si="21"/>
        <v>103.99999999999959</v>
      </c>
      <c r="BC6" s="9"/>
    </row>
    <row r="7" spans="1:55" ht="20.399999999999999">
      <c r="A7" s="3" t="s">
        <v>5</v>
      </c>
      <c r="B7" s="1">
        <v>7800</v>
      </c>
      <c r="D7" s="4" t="s">
        <v>13</v>
      </c>
      <c r="E7" s="10">
        <v>92000</v>
      </c>
      <c r="F7" s="8">
        <f>-$B$8*((F4-E4)/$B$2)</f>
        <v>92000.000000013068</v>
      </c>
      <c r="G7" s="11">
        <f t="shared" ref="G7:BB7" si="22">-$B$8*((G4-F4)/$B$2)</f>
        <v>92000.000000013068</v>
      </c>
      <c r="H7" s="11">
        <f t="shared" si="22"/>
        <v>92000.000000011772</v>
      </c>
      <c r="I7" s="11">
        <f t="shared" si="22"/>
        <v>92000.000000011772</v>
      </c>
      <c r="J7" s="11">
        <f t="shared" si="22"/>
        <v>92000.000000010463</v>
      </c>
      <c r="K7" s="11">
        <f t="shared" si="22"/>
        <v>92000.000000009153</v>
      </c>
      <c r="L7" s="11">
        <f t="shared" si="22"/>
        <v>92000.000000009153</v>
      </c>
      <c r="M7" s="11">
        <f t="shared" si="22"/>
        <v>92000.000000007843</v>
      </c>
      <c r="N7" s="11">
        <f t="shared" si="22"/>
        <v>92000.000000006534</v>
      </c>
      <c r="O7" s="11">
        <f t="shared" si="22"/>
        <v>92000.000000006534</v>
      </c>
      <c r="P7" s="11">
        <f t="shared" si="22"/>
        <v>92000.000000005224</v>
      </c>
      <c r="Q7" s="11">
        <f t="shared" si="22"/>
        <v>92000.000000005224</v>
      </c>
      <c r="R7" s="11">
        <f t="shared" si="22"/>
        <v>92000.000000004569</v>
      </c>
      <c r="S7" s="11">
        <f t="shared" si="22"/>
        <v>92000.000000004569</v>
      </c>
      <c r="T7" s="11">
        <f t="shared" si="22"/>
        <v>92000.000000003929</v>
      </c>
      <c r="U7" s="11">
        <f t="shared" si="22"/>
        <v>92000.00000000326</v>
      </c>
      <c r="V7" s="11">
        <f t="shared" si="22"/>
        <v>92000.00000000326</v>
      </c>
      <c r="W7" s="11">
        <f t="shared" si="22"/>
        <v>92000.000000002619</v>
      </c>
      <c r="X7" s="11">
        <f t="shared" si="22"/>
        <v>92000.00000000195</v>
      </c>
      <c r="Y7" s="11">
        <f t="shared" si="22"/>
        <v>92000.00000000195</v>
      </c>
      <c r="Z7" s="11">
        <f t="shared" si="22"/>
        <v>92000.00000000131</v>
      </c>
      <c r="AA7" s="11">
        <f t="shared" si="22"/>
        <v>92000.000000000655</v>
      </c>
      <c r="AB7" s="11">
        <f t="shared" si="22"/>
        <v>92000.000000000655</v>
      </c>
      <c r="AC7" s="11">
        <f t="shared" si="22"/>
        <v>92000</v>
      </c>
      <c r="AD7" s="11">
        <f t="shared" si="22"/>
        <v>91999.999999999345</v>
      </c>
      <c r="AE7" s="11">
        <f t="shared" si="22"/>
        <v>91999.999999999345</v>
      </c>
      <c r="AF7" s="11">
        <f t="shared" si="22"/>
        <v>91999.99999999869</v>
      </c>
      <c r="AG7" s="11">
        <f t="shared" si="22"/>
        <v>91999.99999999869</v>
      </c>
      <c r="AH7" s="11">
        <f t="shared" si="22"/>
        <v>91999.999999998035</v>
      </c>
      <c r="AI7" s="11">
        <f t="shared" si="22"/>
        <v>91999.999999998035</v>
      </c>
      <c r="AJ7" s="11">
        <f t="shared" si="22"/>
        <v>91999.999999997381</v>
      </c>
      <c r="AK7" s="11">
        <f t="shared" si="22"/>
        <v>91999.999999996726</v>
      </c>
      <c r="AL7" s="11">
        <f t="shared" si="22"/>
        <v>91999.999999996726</v>
      </c>
      <c r="AM7" s="11">
        <f t="shared" si="22"/>
        <v>91999.999999996071</v>
      </c>
      <c r="AN7" s="11">
        <f t="shared" si="22"/>
        <v>91999.999999995416</v>
      </c>
      <c r="AO7" s="11">
        <f t="shared" si="22"/>
        <v>91999.999999995416</v>
      </c>
      <c r="AP7" s="11">
        <f t="shared" si="22"/>
        <v>91999.999999994776</v>
      </c>
      <c r="AQ7" s="11">
        <f t="shared" si="22"/>
        <v>91999.999999994106</v>
      </c>
      <c r="AR7" s="11">
        <f t="shared" si="22"/>
        <v>91999.999999994106</v>
      </c>
      <c r="AS7" s="11">
        <f t="shared" si="22"/>
        <v>91999.999999993466</v>
      </c>
      <c r="AT7" s="11">
        <f t="shared" si="22"/>
        <v>91999.999999992811</v>
      </c>
      <c r="AU7" s="11">
        <f t="shared" si="22"/>
        <v>91999.999999992811</v>
      </c>
      <c r="AV7" s="11">
        <f t="shared" si="22"/>
        <v>91999.999999991836</v>
      </c>
      <c r="AW7" s="11">
        <f t="shared" si="22"/>
        <v>91999.999999991836</v>
      </c>
      <c r="AX7" s="11">
        <f t="shared" si="22"/>
        <v>91999.999999991502</v>
      </c>
      <c r="AY7" s="11">
        <f t="shared" si="22"/>
        <v>91999.999999991167</v>
      </c>
      <c r="AZ7" s="11">
        <f t="shared" si="22"/>
        <v>91999.999999991167</v>
      </c>
      <c r="BA7" s="11">
        <f t="shared" si="22"/>
        <v>91999.999999990847</v>
      </c>
      <c r="BB7" s="11">
        <f t="shared" si="22"/>
        <v>91999.999999990527</v>
      </c>
      <c r="BC7" s="11"/>
    </row>
    <row r="8" spans="1:55">
      <c r="A8" s="1" t="s">
        <v>6</v>
      </c>
      <c r="B8" s="1">
        <v>46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</row>
    <row r="9" spans="1:55"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</row>
    <row r="10" spans="1:55" ht="20.399999999999999">
      <c r="A10" s="1" t="s">
        <v>7</v>
      </c>
      <c r="B10" s="1">
        <v>300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</row>
    <row r="11" spans="1:55" ht="20.399999999999999">
      <c r="A11" s="1" t="s">
        <v>8</v>
      </c>
      <c r="B11" s="1">
        <v>100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</row>
    <row r="12" spans="1:55" ht="20.399999999999999">
      <c r="A12" s="1" t="s">
        <v>9</v>
      </c>
      <c r="B12" s="1">
        <v>92000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</row>
    <row r="13" spans="1:55"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</row>
  </sheetData>
  <conditionalFormatting sqref="E4:BC4">
    <cfRule type="colorScale" priority="1">
      <colorScale>
        <cfvo type="min" val="0"/>
        <cfvo type="percentile" val="50"/>
        <cfvo type="max" val="0"/>
        <color theme="4"/>
        <color rgb="FFFFEB84"/>
        <color rgb="FFC0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2021-09-17T07:43:05Z</dcterms:created>
  <dcterms:modified xsi:type="dcterms:W3CDTF">2021-09-17T10:40:20Z</dcterms:modified>
</cp:coreProperties>
</file>